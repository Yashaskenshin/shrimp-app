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iway-my.sharepoint.com/personal/ky02_heiway_net/Documents/Desktop/Project AI/Praful trades/"/>
    </mc:Choice>
  </mc:AlternateContent>
  <xr:revisionPtr revIDLastSave="8" documentId="11_6DF5CBA48FE347AF6C784DFEC1485CFD53F77E47" xr6:coauthVersionLast="47" xr6:coauthVersionMax="47" xr10:uidLastSave="{B544CB7C-1CF9-4C24-A7F5-26387FAC2D28}"/>
  <bookViews>
    <workbookView xWindow="-110" yWindow="-110" windowWidth="19420" windowHeight="10300" xr2:uid="{00000000-000D-0000-FFFF-FFFF00000000}"/>
  </bookViews>
  <sheets>
    <sheet name="Maintain" sheetId="1" r:id="rId1"/>
    <sheet name="Processing charge" sheetId="2" r:id="rId2"/>
    <sheet name="master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gYGojtTHD2V43Mbkv6s/Qi5YVeuw=="/>
    </ext>
  </extLst>
</workbook>
</file>

<file path=xl/calcChain.xml><?xml version="1.0" encoding="utf-8"?>
<calcChain xmlns="http://schemas.openxmlformats.org/spreadsheetml/2006/main">
  <c r="K21" i="4" l="1"/>
  <c r="K20" i="4"/>
  <c r="K19" i="4"/>
  <c r="K18" i="4"/>
  <c r="K17" i="4"/>
  <c r="K16" i="4"/>
  <c r="K15" i="4"/>
  <c r="C10" i="4"/>
  <c r="C9" i="4"/>
  <c r="F8" i="4"/>
  <c r="C8" i="4"/>
  <c r="F7" i="4"/>
  <c r="C7" i="4"/>
  <c r="H7" i="4" s="1"/>
  <c r="F6" i="4"/>
  <c r="C6" i="4"/>
  <c r="F5" i="4"/>
  <c r="C5" i="4"/>
  <c r="G4" i="4"/>
  <c r="F4" i="4"/>
  <c r="C4" i="4"/>
  <c r="G3" i="4"/>
  <c r="F3" i="4"/>
  <c r="C3" i="4"/>
  <c r="H2" i="4"/>
  <c r="F2" i="4"/>
  <c r="C2" i="4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L34" i="2"/>
  <c r="M34" i="2" s="1"/>
  <c r="L33" i="2"/>
  <c r="M33" i="2" s="1"/>
  <c r="L32" i="2"/>
  <c r="M32" i="2" s="1"/>
  <c r="M31" i="2"/>
  <c r="L31" i="2"/>
  <c r="L30" i="2"/>
  <c r="M30" i="2" s="1"/>
  <c r="L29" i="2"/>
  <c r="M29" i="2" s="1"/>
  <c r="L28" i="2"/>
  <c r="M28" i="2" s="1"/>
  <c r="L27" i="2"/>
  <c r="M27" i="2" s="1"/>
  <c r="L26" i="2"/>
  <c r="M26" i="2" s="1"/>
  <c r="M25" i="2"/>
  <c r="L25" i="2"/>
  <c r="L24" i="2"/>
  <c r="M24" i="2" s="1"/>
  <c r="L23" i="2"/>
  <c r="M23" i="2" s="1"/>
  <c r="L22" i="2"/>
  <c r="M22" i="2" s="1"/>
  <c r="L21" i="2"/>
  <c r="M21" i="2" s="1"/>
  <c r="L20" i="2"/>
  <c r="M20" i="2" s="1"/>
  <c r="M19" i="2"/>
  <c r="L19" i="2"/>
  <c r="L18" i="2"/>
  <c r="M18" i="2" s="1"/>
  <c r="L17" i="2"/>
  <c r="M17" i="2" s="1"/>
  <c r="L16" i="2"/>
  <c r="M16" i="2" s="1"/>
  <c r="L15" i="2"/>
  <c r="M15" i="2" s="1"/>
  <c r="L14" i="2"/>
  <c r="M14" i="2" s="1"/>
  <c r="M13" i="2"/>
  <c r="L13" i="2"/>
  <c r="L12" i="2"/>
  <c r="M12" i="2" s="1"/>
  <c r="L11" i="2"/>
  <c r="M11" i="2" s="1"/>
  <c r="L10" i="2"/>
  <c r="M10" i="2" s="1"/>
  <c r="L9" i="2"/>
  <c r="M9" i="2" s="1"/>
  <c r="L8" i="2"/>
  <c r="M8" i="2" s="1"/>
  <c r="M7" i="2"/>
  <c r="L7" i="2"/>
  <c r="L6" i="2"/>
  <c r="M6" i="2" s="1"/>
  <c r="L5" i="2"/>
  <c r="M5" i="2" s="1"/>
  <c r="E56" i="1"/>
  <c r="K44" i="1"/>
  <c r="G44" i="1"/>
  <c r="F44" i="1"/>
  <c r="K43" i="1"/>
  <c r="G43" i="1"/>
  <c r="F43" i="1"/>
  <c r="K42" i="1"/>
  <c r="G42" i="1"/>
  <c r="F42" i="1"/>
  <c r="P36" i="1"/>
  <c r="O36" i="1"/>
  <c r="N36" i="1"/>
  <c r="M36" i="1"/>
  <c r="L36" i="1"/>
  <c r="K36" i="1"/>
  <c r="J36" i="1"/>
  <c r="I36" i="1"/>
  <c r="H36" i="1"/>
  <c r="G36" i="1"/>
  <c r="F36" i="1"/>
  <c r="E36" i="1"/>
  <c r="M32" i="1"/>
  <c r="L32" i="1"/>
  <c r="K32" i="1"/>
  <c r="J32" i="1"/>
  <c r="I32" i="1"/>
  <c r="H32" i="1"/>
  <c r="G32" i="1"/>
  <c r="F32" i="1"/>
  <c r="E32" i="1"/>
  <c r="D32" i="1"/>
  <c r="G30" i="1"/>
  <c r="G31" i="1" s="1"/>
  <c r="L29" i="1"/>
  <c r="K29" i="1"/>
  <c r="H29" i="1"/>
  <c r="G29" i="1"/>
  <c r="F29" i="1"/>
  <c r="L28" i="1"/>
  <c r="L40" i="1" s="1"/>
  <c r="I28" i="1"/>
  <c r="I37" i="1" s="1"/>
  <c r="G28" i="1"/>
  <c r="G40" i="1" s="1"/>
  <c r="P27" i="1"/>
  <c r="P55" i="1" s="1"/>
  <c r="O27" i="1"/>
  <c r="O55" i="1" s="1"/>
  <c r="N27" i="1"/>
  <c r="N40" i="1" s="1"/>
  <c r="M27" i="1"/>
  <c r="M44" i="1" s="1"/>
  <c r="L27" i="1"/>
  <c r="L44" i="1" s="1"/>
  <c r="K27" i="1"/>
  <c r="J27" i="1"/>
  <c r="J44" i="1" s="1"/>
  <c r="I27" i="1"/>
  <c r="I44" i="1" s="1"/>
  <c r="H27" i="1"/>
  <c r="H44" i="1" s="1"/>
  <c r="G27" i="1"/>
  <c r="G55" i="1" s="1"/>
  <c r="F27" i="1"/>
  <c r="F55" i="1" s="1"/>
  <c r="E27" i="1"/>
  <c r="Q27" i="1" s="1"/>
  <c r="P26" i="1"/>
  <c r="P29" i="1" s="1"/>
  <c r="O26" i="1"/>
  <c r="O29" i="1" s="1"/>
  <c r="N26" i="1"/>
  <c r="N29" i="1" s="1"/>
  <c r="M26" i="1"/>
  <c r="M28" i="1" s="1"/>
  <c r="M37" i="1" s="1"/>
  <c r="L26" i="1"/>
  <c r="K26" i="1"/>
  <c r="K28" i="1" s="1"/>
  <c r="J26" i="1"/>
  <c r="J29" i="1" s="1"/>
  <c r="I26" i="1"/>
  <c r="I29" i="1" s="1"/>
  <c r="H26" i="1"/>
  <c r="H28" i="1" s="1"/>
  <c r="H37" i="1" s="1"/>
  <c r="G26" i="1"/>
  <c r="F26" i="1"/>
  <c r="F28" i="1" s="1"/>
  <c r="E26" i="1"/>
  <c r="E29" i="1" s="1"/>
  <c r="P25" i="1"/>
  <c r="N25" i="1"/>
  <c r="M25" i="1"/>
  <c r="K25" i="1"/>
  <c r="H25" i="1"/>
  <c r="J22" i="1"/>
  <c r="L21" i="1"/>
  <c r="H21" i="1"/>
  <c r="F21" i="1"/>
  <c r="L20" i="1"/>
  <c r="H20" i="1"/>
  <c r="F20" i="1"/>
  <c r="O25" i="1" s="1"/>
  <c r="L19" i="1"/>
  <c r="H19" i="1"/>
  <c r="F19" i="1"/>
  <c r="L18" i="1"/>
  <c r="H18" i="1"/>
  <c r="F18" i="1"/>
  <c r="L17" i="1"/>
  <c r="H17" i="1"/>
  <c r="F17" i="1"/>
  <c r="L25" i="1" s="1"/>
  <c r="L16" i="1"/>
  <c r="H16" i="1"/>
  <c r="F16" i="1"/>
  <c r="L15" i="1"/>
  <c r="H15" i="1"/>
  <c r="F15" i="1"/>
  <c r="J25" i="1" s="1"/>
  <c r="L14" i="1"/>
  <c r="H14" i="1"/>
  <c r="F14" i="1"/>
  <c r="I25" i="1" s="1"/>
  <c r="L13" i="1"/>
  <c r="H13" i="1"/>
  <c r="F13" i="1"/>
  <c r="L12" i="1"/>
  <c r="H12" i="1"/>
  <c r="F12" i="1"/>
  <c r="G25" i="1" s="1"/>
  <c r="L11" i="1"/>
  <c r="H11" i="1"/>
  <c r="F11" i="1"/>
  <c r="F25" i="1" s="1"/>
  <c r="L10" i="1"/>
  <c r="L22" i="1" s="1"/>
  <c r="K22" i="1" s="1"/>
  <c r="H10" i="1"/>
  <c r="F10" i="1"/>
  <c r="E25" i="1" s="1"/>
  <c r="J4" i="1"/>
  <c r="M16" i="1" s="1"/>
  <c r="N16" i="1" s="1"/>
  <c r="K33" i="1" s="1"/>
  <c r="K3" i="1"/>
  <c r="F30" i="1" l="1"/>
  <c r="F31" i="1" s="1"/>
  <c r="F40" i="1"/>
  <c r="F37" i="1"/>
  <c r="Q41" i="1"/>
  <c r="Q39" i="1"/>
  <c r="Q38" i="1"/>
  <c r="K46" i="1"/>
  <c r="K45" i="1"/>
  <c r="K30" i="1"/>
  <c r="K37" i="1"/>
  <c r="K40" i="1"/>
  <c r="K31" i="1"/>
  <c r="L31" i="1"/>
  <c r="J28" i="1"/>
  <c r="J37" i="1" s="1"/>
  <c r="H30" i="1"/>
  <c r="H31" i="1" s="1"/>
  <c r="O40" i="1"/>
  <c r="N42" i="1"/>
  <c r="N43" i="1"/>
  <c r="N44" i="1"/>
  <c r="Q44" i="1" s="1"/>
  <c r="H53" i="1"/>
  <c r="H54" i="1"/>
  <c r="H55" i="1"/>
  <c r="Q55" i="1" s="1"/>
  <c r="M14" i="1"/>
  <c r="N14" i="1" s="1"/>
  <c r="I33" i="1" s="1"/>
  <c r="M19" i="1"/>
  <c r="N19" i="1" s="1"/>
  <c r="N33" i="1" s="1"/>
  <c r="I30" i="1"/>
  <c r="I31" i="1" s="1"/>
  <c r="G37" i="1"/>
  <c r="P40" i="1"/>
  <c r="O42" i="1"/>
  <c r="O43" i="1"/>
  <c r="O44" i="1"/>
  <c r="I53" i="1"/>
  <c r="I54" i="1"/>
  <c r="I55" i="1"/>
  <c r="P42" i="1"/>
  <c r="P43" i="1"/>
  <c r="P44" i="1"/>
  <c r="J53" i="1"/>
  <c r="J54" i="1"/>
  <c r="J55" i="1"/>
  <c r="K53" i="1"/>
  <c r="K54" i="1"/>
  <c r="K55" i="1"/>
  <c r="N28" i="1"/>
  <c r="N37" i="1" s="1"/>
  <c r="M29" i="1"/>
  <c r="M31" i="1" s="1"/>
  <c r="L30" i="1"/>
  <c r="L53" i="1"/>
  <c r="L56" i="1" s="1"/>
  <c r="L54" i="1"/>
  <c r="L55" i="1"/>
  <c r="M17" i="1"/>
  <c r="N17" i="1" s="1"/>
  <c r="L33" i="1" s="1"/>
  <c r="O28" i="1"/>
  <c r="O37" i="1" s="1"/>
  <c r="M30" i="1"/>
  <c r="H40" i="1"/>
  <c r="M53" i="1"/>
  <c r="M54" i="1"/>
  <c r="M55" i="1"/>
  <c r="M20" i="1"/>
  <c r="N20" i="1" s="1"/>
  <c r="O33" i="1" s="1"/>
  <c r="P28" i="1"/>
  <c r="P37" i="1" s="1"/>
  <c r="L37" i="1"/>
  <c r="I40" i="1"/>
  <c r="H42" i="1"/>
  <c r="Q42" i="1" s="1"/>
  <c r="H43" i="1"/>
  <c r="Q43" i="1" s="1"/>
  <c r="N53" i="1"/>
  <c r="N54" i="1"/>
  <c r="N55" i="1"/>
  <c r="M21" i="1"/>
  <c r="N21" i="1" s="1"/>
  <c r="P33" i="1" s="1"/>
  <c r="M10" i="1"/>
  <c r="M15" i="1"/>
  <c r="N15" i="1" s="1"/>
  <c r="J33" i="1" s="1"/>
  <c r="M13" i="1"/>
  <c r="N13" i="1" s="1"/>
  <c r="H33" i="1" s="1"/>
  <c r="E28" i="1"/>
  <c r="I42" i="1"/>
  <c r="I43" i="1"/>
  <c r="O53" i="1"/>
  <c r="O54" i="1"/>
  <c r="M18" i="1"/>
  <c r="N18" i="1" s="1"/>
  <c r="M33" i="1" s="1"/>
  <c r="J42" i="1"/>
  <c r="J43" i="1"/>
  <c r="P53" i="1"/>
  <c r="P56" i="1" s="1"/>
  <c r="P54" i="1"/>
  <c r="M12" i="1"/>
  <c r="N12" i="1" s="1"/>
  <c r="G33" i="1" s="1"/>
  <c r="M11" i="1"/>
  <c r="N11" i="1" s="1"/>
  <c r="F33" i="1" s="1"/>
  <c r="M40" i="1"/>
  <c r="L42" i="1"/>
  <c r="L43" i="1"/>
  <c r="F53" i="1"/>
  <c r="F54" i="1"/>
  <c r="Q54" i="1" s="1"/>
  <c r="M42" i="1"/>
  <c r="M43" i="1"/>
  <c r="G53" i="1"/>
  <c r="G54" i="1"/>
  <c r="P30" i="1" l="1"/>
  <c r="P31" i="1" s="1"/>
  <c r="I56" i="1"/>
  <c r="K47" i="1"/>
  <c r="M46" i="1"/>
  <c r="M45" i="1"/>
  <c r="M47" i="1" s="1"/>
  <c r="M56" i="1"/>
  <c r="F56" i="1"/>
  <c r="O56" i="1"/>
  <c r="N56" i="1"/>
  <c r="K56" i="1"/>
  <c r="Q53" i="1"/>
  <c r="Q56" i="1" s="1"/>
  <c r="H46" i="1"/>
  <c r="H45" i="1"/>
  <c r="J46" i="1"/>
  <c r="J45" i="1"/>
  <c r="J47" i="1" s="1"/>
  <c r="N10" i="1"/>
  <c r="E33" i="1" s="1"/>
  <c r="M22" i="1"/>
  <c r="L45" i="1"/>
  <c r="L46" i="1"/>
  <c r="F46" i="1"/>
  <c r="F45" i="1"/>
  <c r="J40" i="1"/>
  <c r="J30" i="1"/>
  <c r="J31" i="1" s="1"/>
  <c r="J56" i="1"/>
  <c r="G46" i="1"/>
  <c r="G45" i="1"/>
  <c r="O30" i="1"/>
  <c r="O31" i="1" s="1"/>
  <c r="N46" i="1"/>
  <c r="N45" i="1"/>
  <c r="G56" i="1"/>
  <c r="O46" i="1"/>
  <c r="O45" i="1"/>
  <c r="H56" i="1"/>
  <c r="P46" i="1"/>
  <c r="P45" i="1"/>
  <c r="P47" i="1" s="1"/>
  <c r="P57" i="1" s="1"/>
  <c r="P58" i="1" s="1"/>
  <c r="E30" i="1"/>
  <c r="E40" i="1"/>
  <c r="Q40" i="1" s="1"/>
  <c r="E37" i="1"/>
  <c r="N30" i="1"/>
  <c r="N31" i="1" s="1"/>
  <c r="I46" i="1"/>
  <c r="I45" i="1"/>
  <c r="I47" i="1" s="1"/>
  <c r="O47" i="1" l="1"/>
  <c r="O57" i="1" s="1"/>
  <c r="O58" i="1" s="1"/>
  <c r="F47" i="1"/>
  <c r="F57" i="1" s="1"/>
  <c r="F58" i="1" s="1"/>
  <c r="F60" i="1" s="1"/>
  <c r="L47" i="1"/>
  <c r="L48" i="1" s="1"/>
  <c r="N47" i="1"/>
  <c r="N57" i="1" s="1"/>
  <c r="N58" i="1" s="1"/>
  <c r="N60" i="1" s="1"/>
  <c r="G47" i="1"/>
  <c r="H47" i="1"/>
  <c r="H57" i="1" s="1"/>
  <c r="H58" i="1" s="1"/>
  <c r="P48" i="1"/>
  <c r="P50" i="1" s="1"/>
  <c r="I57" i="1"/>
  <c r="I58" i="1" s="1"/>
  <c r="I48" i="1"/>
  <c r="G57" i="1"/>
  <c r="G58" i="1" s="1"/>
  <c r="G48" i="1"/>
  <c r="L57" i="1"/>
  <c r="L58" i="1" s="1"/>
  <c r="M57" i="1"/>
  <c r="M58" i="1" s="1"/>
  <c r="M48" i="1"/>
  <c r="J57" i="1"/>
  <c r="J58" i="1" s="1"/>
  <c r="J48" i="1"/>
  <c r="K57" i="1"/>
  <c r="K58" i="1" s="1"/>
  <c r="K48" i="1"/>
  <c r="Q37" i="1"/>
  <c r="N59" i="1"/>
  <c r="P60" i="1"/>
  <c r="P59" i="1"/>
  <c r="Q30" i="1"/>
  <c r="Q28" i="1" s="1"/>
  <c r="E31" i="1"/>
  <c r="Q31" i="1" s="1"/>
  <c r="Q29" i="1" s="1"/>
  <c r="Q33" i="1"/>
  <c r="N22" i="1"/>
  <c r="E46" i="1"/>
  <c r="Q46" i="1" s="1"/>
  <c r="E45" i="1"/>
  <c r="Q45" i="1" s="1"/>
  <c r="N48" i="1"/>
  <c r="H48" i="1" l="1"/>
  <c r="H49" i="1" s="1"/>
  <c r="O48" i="1"/>
  <c r="O50" i="1" s="1"/>
  <c r="F48" i="1"/>
  <c r="F49" i="1" s="1"/>
  <c r="F59" i="1"/>
  <c r="P49" i="1"/>
  <c r="M50" i="1"/>
  <c r="M49" i="1"/>
  <c r="M60" i="1"/>
  <c r="M59" i="1"/>
  <c r="L60" i="1"/>
  <c r="L59" i="1"/>
  <c r="Q48" i="1"/>
  <c r="Q50" i="1" s="1"/>
  <c r="L50" i="1"/>
  <c r="L49" i="1"/>
  <c r="E47" i="1"/>
  <c r="Q47" i="1"/>
  <c r="Q57" i="1" s="1"/>
  <c r="Q58" i="1" s="1"/>
  <c r="Q60" i="1" s="1"/>
  <c r="O59" i="1"/>
  <c r="O60" i="1"/>
  <c r="K50" i="1"/>
  <c r="K49" i="1"/>
  <c r="G50" i="1"/>
  <c r="G49" i="1"/>
  <c r="K60" i="1"/>
  <c r="K59" i="1"/>
  <c r="G60" i="1"/>
  <c r="G59" i="1"/>
  <c r="Q32" i="1"/>
  <c r="I50" i="1"/>
  <c r="I49" i="1"/>
  <c r="H60" i="1"/>
  <c r="H59" i="1"/>
  <c r="I60" i="1"/>
  <c r="I59" i="1"/>
  <c r="J50" i="1"/>
  <c r="J49" i="1"/>
  <c r="N50" i="1"/>
  <c r="N49" i="1"/>
  <c r="J60" i="1"/>
  <c r="J59" i="1"/>
  <c r="H50" i="1" l="1"/>
  <c r="O49" i="1"/>
  <c r="F50" i="1"/>
  <c r="E57" i="1"/>
  <c r="E58" i="1" s="1"/>
  <c r="E48" i="1"/>
  <c r="E50" i="1" l="1"/>
  <c r="E49" i="1"/>
  <c r="Q49" i="1" s="1"/>
  <c r="E60" i="1"/>
  <c r="E59" i="1"/>
  <c r="Q59" i="1" s="1"/>
</calcChain>
</file>

<file path=xl/sharedStrings.xml><?xml version="1.0" encoding="utf-8"?>
<sst xmlns="http://schemas.openxmlformats.org/spreadsheetml/2006/main" count="1092" uniqueCount="618">
  <si>
    <t>Make changes in Blue highlight</t>
  </si>
  <si>
    <t>password for maintain sheet : 1234</t>
  </si>
  <si>
    <t xml:space="preserve">Cost Sheet </t>
  </si>
  <si>
    <t>Date</t>
  </si>
  <si>
    <t>PO no</t>
  </si>
  <si>
    <t>Plant</t>
  </si>
  <si>
    <t>Revised date</t>
  </si>
  <si>
    <t>Contract date</t>
  </si>
  <si>
    <t>Exc Rate</t>
  </si>
  <si>
    <t>as of</t>
  </si>
  <si>
    <t>USDINR</t>
  </si>
  <si>
    <t>Customer</t>
  </si>
  <si>
    <t>Malyasia</t>
  </si>
  <si>
    <t>COUNTRY</t>
  </si>
  <si>
    <t>USA</t>
  </si>
  <si>
    <t>PORT OF LOADING / Date</t>
  </si>
  <si>
    <t>INCOTERM</t>
  </si>
  <si>
    <t>PORT OF DESTINATION / Date</t>
  </si>
  <si>
    <t>Prepare</t>
  </si>
  <si>
    <t>Verify</t>
  </si>
  <si>
    <t>Approve</t>
  </si>
  <si>
    <t>PAYMENT</t>
  </si>
  <si>
    <t>Sell information</t>
  </si>
  <si>
    <t>PROUDCT Code 
(&lt; 18 digits)</t>
  </si>
  <si>
    <t>Product name 
(&lt; 40 digits)</t>
  </si>
  <si>
    <t>size</t>
  </si>
  <si>
    <t>pack</t>
  </si>
  <si>
    <t>Weight</t>
  </si>
  <si>
    <t xml:space="preserve"> @ USD</t>
  </si>
  <si>
    <t xml:space="preserve"> 000 USD</t>
  </si>
  <si>
    <t xml:space="preserve"> 000INR</t>
  </si>
  <si>
    <t xml:space="preserve"> @ INR</t>
  </si>
  <si>
    <t>Stock FG KG.</t>
  </si>
  <si>
    <t xml:space="preserve"> cost @ INR</t>
  </si>
  <si>
    <t>0825GC105020L1620P</t>
  </si>
  <si>
    <t>5X2LBS</t>
  </si>
  <si>
    <t>0825GC105020L2125P</t>
  </si>
  <si>
    <t>0826VC105020L2630P</t>
  </si>
  <si>
    <t>0825GC105020L2630P</t>
  </si>
  <si>
    <t>0826VC105020L2125P</t>
  </si>
  <si>
    <t>0826VC105020L3140P</t>
  </si>
  <si>
    <t>0826VC105020L4150P</t>
  </si>
  <si>
    <t>0826VC105020L5160P</t>
  </si>
  <si>
    <t>0826VC105020L6170P</t>
  </si>
  <si>
    <t>Total</t>
  </si>
  <si>
    <t>Description</t>
  </si>
  <si>
    <t>Product Name</t>
  </si>
  <si>
    <t>Product code</t>
  </si>
  <si>
    <t>KG</t>
  </si>
  <si>
    <t>Yield</t>
  </si>
  <si>
    <t>AVG size</t>
  </si>
  <si>
    <t>RM Usage KG</t>
  </si>
  <si>
    <t>PCs</t>
  </si>
  <si>
    <t>RM Price</t>
  </si>
  <si>
    <t>Selling price RS/kg</t>
  </si>
  <si>
    <t>Cost</t>
  </si>
  <si>
    <t>Variable cost</t>
  </si>
  <si>
    <t>Stock cost</t>
  </si>
  <si>
    <t>Raw material meat</t>
  </si>
  <si>
    <t>Packaging (Include re-pack)</t>
  </si>
  <si>
    <t>Additive</t>
  </si>
  <si>
    <t>Harvesting</t>
  </si>
  <si>
    <t>Processing charge</t>
  </si>
  <si>
    <t xml:space="preserve">Commission </t>
  </si>
  <si>
    <t>Export shipment</t>
  </si>
  <si>
    <t>Clearance at destination port (DDP)</t>
  </si>
  <si>
    <t>DBK&amp;MEIS : DBK</t>
  </si>
  <si>
    <t>New*</t>
  </si>
  <si>
    <t xml:space="preserve">                  : MEIS</t>
  </si>
  <si>
    <t>Variable cost total</t>
  </si>
  <si>
    <t>Contrubution Margin @</t>
  </si>
  <si>
    <t>Rs./KG</t>
  </si>
  <si>
    <t>Contrubution Profit (Loss) 000 Rs.</t>
  </si>
  <si>
    <t>Fixed cost</t>
  </si>
  <si>
    <t>Wage&amp;Salaries</t>
  </si>
  <si>
    <t>Rental&amp;Insurance&amp;Other</t>
  </si>
  <si>
    <t>Depreciation</t>
  </si>
  <si>
    <t>Fixed cost total</t>
  </si>
  <si>
    <t>Total cost</t>
  </si>
  <si>
    <t>Profit (Loss) before Admin&amp;Selling Exp fixed @</t>
  </si>
  <si>
    <t xml:space="preserve">Profit (Loss) before Admin&amp;Selling Exp fixed </t>
  </si>
  <si>
    <t>Remark</t>
  </si>
  <si>
    <t>Exclude : Admin Exp</t>
  </si>
  <si>
    <t xml:space="preserve">             Selling Exp fixed</t>
  </si>
  <si>
    <t>Cap 900 tones</t>
  </si>
  <si>
    <t>Processing Charge</t>
  </si>
  <si>
    <t>A</t>
  </si>
  <si>
    <t>B</t>
  </si>
  <si>
    <t>C</t>
  </si>
  <si>
    <t>D</t>
  </si>
  <si>
    <t>=(B+C+D)xA</t>
  </si>
  <si>
    <t>Pre-processing</t>
  </si>
  <si>
    <t>Processing</t>
  </si>
  <si>
    <t>No.</t>
  </si>
  <si>
    <t>Product G</t>
  </si>
  <si>
    <t>Product</t>
  </si>
  <si>
    <t>Freeze type</t>
  </si>
  <si>
    <t>Pack size</t>
  </si>
  <si>
    <t>Count size</t>
  </si>
  <si>
    <t>1st step: HO=&gt;HL</t>
  </si>
  <si>
    <t>2nd step: HL=&gt;Peel</t>
  </si>
  <si>
    <t>Processing charge/KG</t>
  </si>
  <si>
    <t>Processing charge/KG +GST</t>
  </si>
  <si>
    <t>NELO</t>
  </si>
  <si>
    <t>HO</t>
  </si>
  <si>
    <t>HOSO</t>
  </si>
  <si>
    <t>Block</t>
  </si>
  <si>
    <t>1.8Kg/2.0Kg</t>
  </si>
  <si>
    <t>All size</t>
  </si>
  <si>
    <t>800g/1.0Kg</t>
  </si>
  <si>
    <t>Semi IQF</t>
  </si>
  <si>
    <t>HL</t>
  </si>
  <si>
    <t>HLSO</t>
  </si>
  <si>
    <t>1.8Kg/2.0Kg/4Lbs</t>
  </si>
  <si>
    <t>HL EZ</t>
  </si>
  <si>
    <t>PD</t>
  </si>
  <si>
    <t>PUD</t>
  </si>
  <si>
    <t>PDTO</t>
  </si>
  <si>
    <t>800g/1.0Kg/1.2Kg</t>
  </si>
  <si>
    <t>IQF</t>
  </si>
  <si>
    <t>2Lbs/1.0Kg/2.0Kg/bulk</t>
  </si>
  <si>
    <t>300G/500G/1.0Lb</t>
  </si>
  <si>
    <t>1.0Kg/2Lbs/bulk</t>
  </si>
  <si>
    <t>COOK</t>
  </si>
  <si>
    <t>bulk</t>
  </si>
  <si>
    <t>HLEZ</t>
  </si>
  <si>
    <t>len&lt;20</t>
  </si>
  <si>
    <t>Product description by calculation</t>
  </si>
  <si>
    <t>len&lt;40</t>
  </si>
  <si>
    <t>RM avg.size</t>
  </si>
  <si>
    <t>STD.Yeild %</t>
  </si>
  <si>
    <t>Check</t>
  </si>
  <si>
    <t>0826VCI10010K0812P</t>
  </si>
  <si>
    <t>VA PDTL IQF T NBFWFC35 8/12 10X1.0KG</t>
  </si>
  <si>
    <t>.8/12</t>
  </si>
  <si>
    <t>0826VCI10010K1315P</t>
  </si>
  <si>
    <t>VA PDTL IQF T NBFWFC35 13/15 10X1.0KG</t>
  </si>
  <si>
    <t>13/15</t>
  </si>
  <si>
    <t>0826VCI10010K1620P</t>
  </si>
  <si>
    <t>VA PDTL IQF T NBFWFC35 16/20 10X1.0KG</t>
  </si>
  <si>
    <t>16/20</t>
  </si>
  <si>
    <t>0826VCI10010K2125P</t>
  </si>
  <si>
    <t>VA PDTL IQF T NBFWFC35 21/25 10X1.0KG</t>
  </si>
  <si>
    <t>21/25</t>
  </si>
  <si>
    <t>0826VCI10010K2630P</t>
  </si>
  <si>
    <t>VA PDTL IQF T NBFWFC35 26/30 10X1.0KG</t>
  </si>
  <si>
    <t>26/30</t>
  </si>
  <si>
    <t>0826VCI10010K3135P</t>
  </si>
  <si>
    <t>VA PDTL IQF T NBFWFC35 31/35 10X1.0KG</t>
  </si>
  <si>
    <t>31/35</t>
  </si>
  <si>
    <t>0826VCI10010K3140P</t>
  </si>
  <si>
    <t>VA PDTL IQF T NBFWFC35 31/40 10X1.0KG</t>
  </si>
  <si>
    <t>31/40</t>
  </si>
  <si>
    <t>0826VCI10010K4150P</t>
  </si>
  <si>
    <t>VA PDTL IQF T NBFWFC35 41/50 10X1.0KG</t>
  </si>
  <si>
    <t>41/50</t>
  </si>
  <si>
    <t>0826VCI10010K5160P</t>
  </si>
  <si>
    <t>VA PDTL IQF T NBFWFC35 51/60 10X1.0KG</t>
  </si>
  <si>
    <t>51/60</t>
  </si>
  <si>
    <t>0826VCI10010K6170P</t>
  </si>
  <si>
    <t>VA PDTL IQF T NBFWFC35 61/70 10X1.0KG</t>
  </si>
  <si>
    <t>61/70</t>
  </si>
  <si>
    <t>0826VCI10010K1115P</t>
  </si>
  <si>
    <t>VA PDTL IQF T NBFWFC35 11/15 10X1.0KG</t>
  </si>
  <si>
    <t>.11/15</t>
  </si>
  <si>
    <t>0825GCI10010K1115P</t>
  </si>
  <si>
    <t>VA PDTO IQF T NBFWFC35 11/15 10X1.0KG</t>
  </si>
  <si>
    <t>0825GCI10010K0812P</t>
  </si>
  <si>
    <t>VA PDTO IQF T NBFWFC35 8/12 10X1.0KG</t>
  </si>
  <si>
    <t>0825GCI10010K1315P</t>
  </si>
  <si>
    <t>VA PDTO IQF T NBFWFC35 13/15 10X1.0KG</t>
  </si>
  <si>
    <t>0825GCI10010K1620P</t>
  </si>
  <si>
    <t>VA PDTO IQF T NBFWFC35 16/20 10X1.0KG</t>
  </si>
  <si>
    <t>0825GCI10010K2125P</t>
  </si>
  <si>
    <t>VA PDTO IQF T NBFWFC35 21/25 10X1.0KG</t>
  </si>
  <si>
    <t>0825GCI10010K2630P</t>
  </si>
  <si>
    <t>VA PDTO IQF T NBFWFC35 26/30 10X1.0KG</t>
  </si>
  <si>
    <t>0825GCI10010K3135P</t>
  </si>
  <si>
    <t>VA PDTO IQF T NBFWFC35 31/35 10X1.0KG</t>
  </si>
  <si>
    <t>0825GCI10010K3140P</t>
  </si>
  <si>
    <t>VA PDTO IQF T NBFWFC35 31/40 10X1.0KG</t>
  </si>
  <si>
    <t>0825GCI10010K4150P</t>
  </si>
  <si>
    <t>VA PDTO IQF T NBFWFC35 41/50 10X1.0KG</t>
  </si>
  <si>
    <t>0825GCI10010K5160P</t>
  </si>
  <si>
    <t>VA PDTO IQF T NBFWFC35 51/60 10X1.0KG</t>
  </si>
  <si>
    <t>0825GCI10010K6170P</t>
  </si>
  <si>
    <t>VA PDTO IQF T NBFWFC35 61/70 10X1.0KG</t>
  </si>
  <si>
    <t>0826VC110020L0812P</t>
  </si>
  <si>
    <t>VA PDTL IQF T NB 8/12 10X2LB</t>
  </si>
  <si>
    <t>.08/12</t>
  </si>
  <si>
    <t>0826VC110020L1315P</t>
  </si>
  <si>
    <t>VA PDTL IQF T NB 13/15 10X2 LB</t>
  </si>
  <si>
    <t>0826VC110020L1620P</t>
  </si>
  <si>
    <t>VA PDTL IQF T NB 16/20 10X2 LB</t>
  </si>
  <si>
    <t>0826VC110020L2125P</t>
  </si>
  <si>
    <t>VA PDTL IQF T NB 21/25 10X2 LB</t>
  </si>
  <si>
    <t>0826VC110020L2630P</t>
  </si>
  <si>
    <t xml:space="preserve">VA PDTL IQF T NB 26/30 10X2 LB </t>
  </si>
  <si>
    <t>0826VC110020L3135P</t>
  </si>
  <si>
    <t>VA PDTL IQF T NB 31/35 10X2 LB</t>
  </si>
  <si>
    <t>0826VC110020L3140P</t>
  </si>
  <si>
    <t>VA PDTL IQF T NB 31/40 10X2 LB</t>
  </si>
  <si>
    <t>0826VC110020L4150P</t>
  </si>
  <si>
    <t>VA PDTL IQF T NB 41/50 10X2 LB</t>
  </si>
  <si>
    <t>0826VC110020L5160P</t>
  </si>
  <si>
    <t>VA PDTL IQF T NB 51/60 10X2 LB</t>
  </si>
  <si>
    <t>0826VC110020L6170P</t>
  </si>
  <si>
    <t>VA PDTL IQF T NB 61/70 10X2LB</t>
  </si>
  <si>
    <t>0826VC110020L7190P</t>
  </si>
  <si>
    <t>VA PDTL IQF T NB 71/90 10X2 LB</t>
  </si>
  <si>
    <t>71/90</t>
  </si>
  <si>
    <t>0823FR501100K13151</t>
  </si>
  <si>
    <t>VA HLSO IQF TREAFW/FC7% 13/15  1x10. KG</t>
  </si>
  <si>
    <t>0823FR501100K16201</t>
  </si>
  <si>
    <t>VA HLSO IQF TREAFW/FC7% 16/20  1x10. KG</t>
  </si>
  <si>
    <t>0823FR501100K21251</t>
  </si>
  <si>
    <t>VA HLSO IQF TREAFW/FC7% 21/25  1x10. KG</t>
  </si>
  <si>
    <t>0823FR501100K26301</t>
  </si>
  <si>
    <t>VA HLSO IQF TREAFW/FC7% 26/30  1x10. KG</t>
  </si>
  <si>
    <t>0823FR501100K31351</t>
  </si>
  <si>
    <t>VA HLSO IQF TREAFW/FC7% 31/35  1x10. KG</t>
  </si>
  <si>
    <t>0823FR501100K31401</t>
  </si>
  <si>
    <t>VA HLSO IQF TREAFW/FC7% 31/40  1x10. KG</t>
  </si>
  <si>
    <t>0823FR501100K41501</t>
  </si>
  <si>
    <t>VA HLSO IQF TREAFW/FC7% 41/50  1x10. KG</t>
  </si>
  <si>
    <t>0823FR501100K51601</t>
  </si>
  <si>
    <t>VA HLSO IQF TREAFW/FC7% 51/60  1x10. KG</t>
  </si>
  <si>
    <t>0823FR501100K61701</t>
  </si>
  <si>
    <t>VA HLSO IQF TREAFW/FC7% 61/70  1x10. KG</t>
  </si>
  <si>
    <t>0823FR501100K71901</t>
  </si>
  <si>
    <t>VA HLSO IQF TREAFW/FC7% 71/90  1x10. KG</t>
  </si>
  <si>
    <t>0826VR620500G71901</t>
  </si>
  <si>
    <t>VA PDTL IQF TREAFWFC20%BK 71/90 20x500 G</t>
  </si>
  <si>
    <t>0825GR320500G08121</t>
  </si>
  <si>
    <t>VA PDTO IQF TREAFW/FC20% 8/12 20x500 G</t>
  </si>
  <si>
    <t>8/12</t>
  </si>
  <si>
    <t>0825GR320500G13151</t>
  </si>
  <si>
    <t>VA PDTO IQF TREAFW/FC20% 13/15 20x500 G</t>
  </si>
  <si>
    <t>0825GR320500G16201</t>
  </si>
  <si>
    <t>VA PDTO IQF TREAFW/FC20% 16/20 20x500 G</t>
  </si>
  <si>
    <t>0825GR320500G21251</t>
  </si>
  <si>
    <t>VA PDTO IQF TREAFW/FC20% 21/25 20x500 G</t>
  </si>
  <si>
    <t>0825GR320500G26301</t>
  </si>
  <si>
    <t>VA PDTO IQF TREAFW/FC20% 26/30 20x500 G</t>
  </si>
  <si>
    <t>0825GR320500G31351</t>
  </si>
  <si>
    <t>VA PDTO IQF TREAFW/FC20% 31/35 20x500 G</t>
  </si>
  <si>
    <t>0825GR320500G31401</t>
  </si>
  <si>
    <t>VA PDTO IQF TREAFW/FC20% 31/40 20x500 G</t>
  </si>
  <si>
    <t>0825GR320500G41501</t>
  </si>
  <si>
    <t>VA PDTO IQF TREAFW/FC20% 41/50 20x500 G</t>
  </si>
  <si>
    <t>0825GR320500G51601</t>
  </si>
  <si>
    <t>VA PDTO IQF TREAFW/FC20% 51/60 20x500 G</t>
  </si>
  <si>
    <t>0825GR310010K08121</t>
  </si>
  <si>
    <t>VA PDTO IQF TREAFW/FC20% 8/12 10x1.0 KG</t>
  </si>
  <si>
    <t>0825H2106018K13151</t>
  </si>
  <si>
    <t>VA  PDTO Block TR Export 13/15  6x1.8KG</t>
  </si>
  <si>
    <t>0825H2106018K16201</t>
  </si>
  <si>
    <t>VA  PDTO Block TR Export 16/20  6x1.8KG</t>
  </si>
  <si>
    <t>0825H2106018K21251</t>
  </si>
  <si>
    <t>VA  PDTO Block TR Export 21/25  6x1.8KG</t>
  </si>
  <si>
    <t>0825H2106018K26301</t>
  </si>
  <si>
    <t>VA  PDTO Block TR Export 26/30  6x1.8KG</t>
  </si>
  <si>
    <t>0825H2106018K31351</t>
  </si>
  <si>
    <t>VA  PDTO Block TR Export 31/35  6x1.8KG</t>
  </si>
  <si>
    <t>0825H2106018K31401</t>
  </si>
  <si>
    <t>VA  PDTO Block TR Export 31/40  6x1.8KG</t>
  </si>
  <si>
    <t>0825H2106018K41501</t>
  </si>
  <si>
    <t>VA  PDTO Block TR Export 41/50  6x1.8KG</t>
  </si>
  <si>
    <t>0825H2106018K51601</t>
  </si>
  <si>
    <t>VA  PDTO Block TR Export 51/60  6x1.8KG</t>
  </si>
  <si>
    <t>0825H2106018K61701</t>
  </si>
  <si>
    <t>VA  PDTO Block TR Export 61/70  6x1.8KG</t>
  </si>
  <si>
    <t>0825H2106018K71901</t>
  </si>
  <si>
    <t>VA  PDTO Block TR Export 71/90  6x1.8KG</t>
  </si>
  <si>
    <t>0825GR510010K13151</t>
  </si>
  <si>
    <t>VA PDTO IQF TREAFW/FC7% 13/15 10x1.0 KG</t>
  </si>
  <si>
    <t>0825GR510010K16201</t>
  </si>
  <si>
    <t>VA PDTO IQF TREAFW/FC7% 16/20 10x1.0 KG</t>
  </si>
  <si>
    <t>0825GR510010K21251</t>
  </si>
  <si>
    <t>VA PDTO IQF TREAFW/FC7% 21/25 10x1.0 KG</t>
  </si>
  <si>
    <t>0825GR510010K26301</t>
  </si>
  <si>
    <t>VA PDTO IQF TREAFW/FC7% 26/30 10x1.0 KG</t>
  </si>
  <si>
    <t>0825GR510010K31351</t>
  </si>
  <si>
    <t>VA PDTO IQF TREAFW/FC7% 31/35 10x1.0 KG</t>
  </si>
  <si>
    <t>0825GR510010K31401</t>
  </si>
  <si>
    <t>VA PDTO IQF TREAFW/FC7% 31/40 10x1.0 KG</t>
  </si>
  <si>
    <t>0825GR510010K41501</t>
  </si>
  <si>
    <t>VA PDTO IQF TREAFW/FC7% 41/50 10x1.0 KG</t>
  </si>
  <si>
    <t>0825GR510010K51601</t>
  </si>
  <si>
    <t>VA PDTO IQF TREAFW/FC7% 51/60 10x1.0 KG</t>
  </si>
  <si>
    <t>0825GR510010K61701</t>
  </si>
  <si>
    <t>VA PDTO IQF TREAFW/FC7% 61/70 10x1.0 KG</t>
  </si>
  <si>
    <t>0825GR510010K71901</t>
  </si>
  <si>
    <t>VA PDTO IQF TREAFW/FC7% 71/90 10x1.0 KG</t>
  </si>
  <si>
    <t>0826VR510010K13151</t>
  </si>
  <si>
    <t>VA PDTL IQF TREAFW/FC7% 13/15 10x1.0 KG</t>
  </si>
  <si>
    <t>0826VR510010K16201</t>
  </si>
  <si>
    <t>VA PDTL IQF TREAFW/FC7% 16/20 10x1.0 KG</t>
  </si>
  <si>
    <t>0826VR510010K21251</t>
  </si>
  <si>
    <t>VA PDTL IQF TREAFW/FC7% 21/25 10x1.0 KG</t>
  </si>
  <si>
    <t>0826VR510010K26301</t>
  </si>
  <si>
    <t>VA PDTL IQF TREAFW/FC7% 26/30 10x1.0 KG</t>
  </si>
  <si>
    <t>0826VR510010K31351</t>
  </si>
  <si>
    <t>VA PDTL IQF TREAFW/FC7% 31/35 10x1.0 KG</t>
  </si>
  <si>
    <t>0826VR510010K31401</t>
  </si>
  <si>
    <t>VA PDTL IQF TREAFW/FC7% 31/40 10x1.0 KG</t>
  </si>
  <si>
    <t>0826VR510010K41501</t>
  </si>
  <si>
    <t>VA PDTL IQF TREAFW/FC7% 41/50 10x1.0 KG</t>
  </si>
  <si>
    <t>0826VR510010K51601</t>
  </si>
  <si>
    <t>VA PDTL IQF TREAFW/FC7% 51/60 10x1.0 KG</t>
  </si>
  <si>
    <t>0826VR510010K61701</t>
  </si>
  <si>
    <t>VA PDTL IQF TREAFW/FC7% 61/70 10x1.0 KG</t>
  </si>
  <si>
    <t>0826VR510010K71901</t>
  </si>
  <si>
    <t>VA PDTL IQF TREAFW/FC7% 71/90 10x1.0 KG</t>
  </si>
  <si>
    <t>0825GR501100K13151</t>
  </si>
  <si>
    <t>VA PDTO IQF TREAFW/FC7% 13/15  1x10. KG</t>
  </si>
  <si>
    <t>0825GR501100K16201</t>
  </si>
  <si>
    <t>VA PDTO IQF TREAFW/FC7% 16/20  1x10. KG</t>
  </si>
  <si>
    <t>0825GR501100K21251</t>
  </si>
  <si>
    <t>VA PDTO IQF TREAFW/FC7% 21/25  1x10. KG</t>
  </si>
  <si>
    <t>0825GR501100K26301</t>
  </si>
  <si>
    <t>VA PDTO IQF TREAFW/FC7% 26/30  1x10. KG</t>
  </si>
  <si>
    <t>0825GR501100K31351</t>
  </si>
  <si>
    <t>VA PDTO IQF TREAFW/FC7% 31/35  1x10. KG</t>
  </si>
  <si>
    <t>0825GR501100K31401</t>
  </si>
  <si>
    <t>VA PDTO IQF TREAFW/FC7% 31/40  1x10. KG</t>
  </si>
  <si>
    <t>0825GR501100K41501</t>
  </si>
  <si>
    <t>VA PDTO IQF TREAFW/FC7% 41/50  1x10. KG</t>
  </si>
  <si>
    <t>0825GR501100K51601</t>
  </si>
  <si>
    <t>VA PDTO IQF TREAFW/FC7% 51/60  1x10. KG</t>
  </si>
  <si>
    <t>0825GR501100K61701</t>
  </si>
  <si>
    <t>VA PDTO IQF TREAFW/FC7% 61/70  1x10. KG</t>
  </si>
  <si>
    <t>0825GR501100K71901</t>
  </si>
  <si>
    <t>VA PDTO IQF TREAFW/FC7% 71/90  1x10. KG</t>
  </si>
  <si>
    <t>0826VR501100K13151</t>
  </si>
  <si>
    <t>VA PDTL IQF TREAFW/FC7% 13/15  1x10. KG</t>
  </si>
  <si>
    <t>0826VR501100K16201</t>
  </si>
  <si>
    <t>VA PDTL IQF TREAFW/FC7% 16/20  1x10. KG</t>
  </si>
  <si>
    <t>0826VR501100K21251</t>
  </si>
  <si>
    <t>VA PDTL IQF TREAFW/FC7% 21/25  1x10. KG</t>
  </si>
  <si>
    <t>0826VR501100K26301</t>
  </si>
  <si>
    <t>VA PDTL IQF TREAFW/FC7% 26/30  1x10. KG</t>
  </si>
  <si>
    <t>0826VR501100K31351</t>
  </si>
  <si>
    <t>VA PDTL IQF TREAFW/FC7% 31/35  1x10. KG</t>
  </si>
  <si>
    <t>0826VR501100K31401</t>
  </si>
  <si>
    <t>VA PDTL IQF TREAFW/FC7% 31/40  1x10. KG</t>
  </si>
  <si>
    <t>0826VR501100K41501</t>
  </si>
  <si>
    <t>VA PDTL IQF TREAFW/FC7% 41/50  1x10. KG</t>
  </si>
  <si>
    <t>0826VR501100K51601</t>
  </si>
  <si>
    <t>VA PDTL IQF TREAFW/FC7% 51/60  1x10. KG</t>
  </si>
  <si>
    <t>0826VR501100K61701</t>
  </si>
  <si>
    <t>VA PDTL IQF TREAFW/FC7% 61/70  1x10. KG</t>
  </si>
  <si>
    <t>0826VR501100K71901</t>
  </si>
  <si>
    <t>VA PDTL IQF TREAFW/FC7% 71/90  1x10. KG</t>
  </si>
  <si>
    <t>0826Y2106020K08121</t>
  </si>
  <si>
    <t>VA  PDTL Block TR Export 8/12  6x2.0KG</t>
  </si>
  <si>
    <t>0826Y2106020K13151</t>
  </si>
  <si>
    <t>VA  PDTL Block TR Export 13/15  6x2.0KG</t>
  </si>
  <si>
    <t>0826Y2106020K16201</t>
  </si>
  <si>
    <t>VA  PDTL Block TR Export 16/20  6x2.0KG</t>
  </si>
  <si>
    <t>0826Y2106020K21251</t>
  </si>
  <si>
    <t>VA  PDTL Block TR Export 21/25  6x2.0KG</t>
  </si>
  <si>
    <t>0826Y2106020K26301</t>
  </si>
  <si>
    <t>VA  PDTL Block TR Export 26/30  6x2.0KG</t>
  </si>
  <si>
    <t>0826Y2106020K31351</t>
  </si>
  <si>
    <t>VA  PDTL Block TR Export 31/35  6x2.0KG</t>
  </si>
  <si>
    <t>0826Y2106020K31401</t>
  </si>
  <si>
    <t>VA  PDTL Block TR Export 31/40  6x2.0KG</t>
  </si>
  <si>
    <t>0826Y2106020K41501</t>
  </si>
  <si>
    <t>VA  PDTL Block TR Export 41/50  6x2.0KG</t>
  </si>
  <si>
    <t>0826Y2106020K51601</t>
  </si>
  <si>
    <t>VA  PDTL Block TR Export 51/60  6x2.0KG</t>
  </si>
  <si>
    <t>0826Y2106020K61701</t>
  </si>
  <si>
    <t>VA  PDTL Block TR Export 61/70  6x2.0KG</t>
  </si>
  <si>
    <t>0826Y2106020K71901</t>
  </si>
  <si>
    <t>VA  PDTL Block TR Export 71/90  6x2.0KG</t>
  </si>
  <si>
    <t>0826Y2106020K91AK1</t>
  </si>
  <si>
    <t>VA  PDTL Block TR Export 91/110  6x2.0KG</t>
  </si>
  <si>
    <t>91/110</t>
  </si>
  <si>
    <t>0825H2106020K08121</t>
  </si>
  <si>
    <t>VA  PDTO Block TR Export 8/12  6x2.0KG</t>
  </si>
  <si>
    <t>0825H2106020K13151</t>
  </si>
  <si>
    <t>VA  PDTO Block TR Export 13/15  6x2.0KG</t>
  </si>
  <si>
    <t>0825H2106020K16201</t>
  </si>
  <si>
    <t>VA  PDTO Block TR Export 16/20  6x2.0KG</t>
  </si>
  <si>
    <t>0825H2106020K21251</t>
  </si>
  <si>
    <t>VA  PDTO Block TR Export 21/25  6x2.0KG</t>
  </si>
  <si>
    <t>0825H2106020K26301</t>
  </si>
  <si>
    <t>VA  PDTO Block TR Export 26/30  6x2.0KG</t>
  </si>
  <si>
    <t>0825H2106020K31351</t>
  </si>
  <si>
    <t>VA  PDTO Block TR Export 31/35  6x2.0KG</t>
  </si>
  <si>
    <t>0825H2106020K31401</t>
  </si>
  <si>
    <t>VA  PDTO Block TR Export 31/40  6x2.0KG</t>
  </si>
  <si>
    <t>0825H2106020K41501</t>
  </si>
  <si>
    <t>VA  PDTO Block TR Export 41/50  6x2.0KG</t>
  </si>
  <si>
    <t>0825H2106020K51601</t>
  </si>
  <si>
    <t>VA  PDTO Block TR Export 51/60  6x2.0KG</t>
  </si>
  <si>
    <t>0825H2106020K61701</t>
  </si>
  <si>
    <t>VA  PDTO Block TR Export 61/70  6x2.0KG</t>
  </si>
  <si>
    <t>0825H2106020K71901</t>
  </si>
  <si>
    <t>VA  PDTO Block TR Export 71/90  6x2.0KG</t>
  </si>
  <si>
    <t>082102106020K21301</t>
  </si>
  <si>
    <t>VA HOSO IQF Export 21/30  6x2.0 KG</t>
  </si>
  <si>
    <t>21/30</t>
  </si>
  <si>
    <t>082102106020K31351</t>
  </si>
  <si>
    <t>VA HOSO IQF Export 31/35  6x2.0 KG</t>
  </si>
  <si>
    <t>082102106020K36401</t>
  </si>
  <si>
    <t>VA HOSO IQF Export 36/40  6x2.0 KG</t>
  </si>
  <si>
    <t>36/40</t>
  </si>
  <si>
    <t>082102106020K31401</t>
  </si>
  <si>
    <t>VA HOSO IQF Export 31/40  6x2.0 KG</t>
  </si>
  <si>
    <t>082102106020K41501</t>
  </si>
  <si>
    <t>VA HOSO IQF Export 41/50  6x2.0 KG</t>
  </si>
  <si>
    <t>082102106020K51601</t>
  </si>
  <si>
    <t>VA HOSO IQF Export 51/60  6x2.0 KG</t>
  </si>
  <si>
    <t>082102106020K61701</t>
  </si>
  <si>
    <t>VA HOSO IQF Export 61/70  6x2.0 KG</t>
  </si>
  <si>
    <t>082102106020K71901</t>
  </si>
  <si>
    <t>VA HOSO IQF Export 71/90  6x2.0 KG</t>
  </si>
  <si>
    <t>082102106020K20301</t>
  </si>
  <si>
    <t>VA HOSO IQF Export 20/30  6x2.0 KG</t>
  </si>
  <si>
    <t>20/30</t>
  </si>
  <si>
    <t>082102106020K30401</t>
  </si>
  <si>
    <t>VA HOSO IQF Export 30/40  6x2.0 KG</t>
  </si>
  <si>
    <t>30/40</t>
  </si>
  <si>
    <t>082102106020K40501</t>
  </si>
  <si>
    <t>VA HOSO IQF Export 40/50  6x2.0 KG</t>
  </si>
  <si>
    <t>40/50</t>
  </si>
  <si>
    <t>082102106020K50601</t>
  </si>
  <si>
    <t>VA HOSO IQF Export 50/60  6x2.0 KG</t>
  </si>
  <si>
    <t>50/60</t>
  </si>
  <si>
    <t>082102106020K60701</t>
  </si>
  <si>
    <t>VA HOSO IQF Export 60/70  6x2.0 KG</t>
  </si>
  <si>
    <t>60/70</t>
  </si>
  <si>
    <t>082102106020K70801</t>
  </si>
  <si>
    <t>VA HOSO IQF Export 70/80  6x2.0 KG</t>
  </si>
  <si>
    <t>70/80</t>
  </si>
  <si>
    <t>0826VC105020L1315P</t>
  </si>
  <si>
    <t>VA PDTL IQF T NB 13/15 5X2LB</t>
  </si>
  <si>
    <t>0826VC105020L1620P</t>
  </si>
  <si>
    <t>VA PDTL IQF T NB 16/20 5X2LB</t>
  </si>
  <si>
    <t>VA PDTL IQF T NB 21/25 5X2LB</t>
  </si>
  <si>
    <t>VA PDTL IQF T NB 26/30 5X2LB</t>
  </si>
  <si>
    <t>VA PDTL IQF T NB 31/40 5X2LB</t>
  </si>
  <si>
    <t>VA PDTL IQF T NB 41/50 5X2LB</t>
  </si>
  <si>
    <t>VA PDTL IQF T NB 51/60 5X2LB</t>
  </si>
  <si>
    <t>VA PDTL IQF T NB 61/70 5X2LB</t>
  </si>
  <si>
    <t>0826VC105020L7190P</t>
  </si>
  <si>
    <t>VA PDTL IQF T NB 71/90 5X2LB</t>
  </si>
  <si>
    <t>0826VC105020LAADWA</t>
  </si>
  <si>
    <t>VA PDTL T NB 100/200 5X2 LB</t>
  </si>
  <si>
    <t>100/200</t>
  </si>
  <si>
    <t>VA PDTO IQF T NB 16/20 5X2LB</t>
  </si>
  <si>
    <t>VA PDTO IQF T NB 21/25 5X2LB</t>
  </si>
  <si>
    <t>VA PDTO IQF T NB 26/30 5X2LB</t>
  </si>
  <si>
    <t>0825GC105020L3140P</t>
  </si>
  <si>
    <t>VA PDTO IQF T NB 31/40 5X2LB</t>
  </si>
  <si>
    <t>0825GC105020L4150P</t>
  </si>
  <si>
    <t>VA PDTO IQF T NB 41/50 5X2LB</t>
  </si>
  <si>
    <t>0825GC105020L5160P</t>
  </si>
  <si>
    <t>VA PDTO IQF T NB 51/60 5X2LB</t>
  </si>
  <si>
    <t>0826VCQ10010K0812A</t>
  </si>
  <si>
    <t>VA PDTL IQF T NBGBFWFC 30 8/12 10X1KG</t>
  </si>
  <si>
    <t>0826VCQ10010K1315A</t>
  </si>
  <si>
    <t>VA PDTL IQF T NBGBFWFC 30 13/15 10X1KG</t>
  </si>
  <si>
    <t>0826VCQ10010K1620A</t>
  </si>
  <si>
    <t>VA PDTL IQF T NBGBFWFC 30 16/20 10X1KG</t>
  </si>
  <si>
    <t>0826VCQ10010K2125A</t>
  </si>
  <si>
    <t>VA PDTL IQF T NBGBFWFC 30 21/25 10X1KG</t>
  </si>
  <si>
    <t>0826VCQ10010K2630A</t>
  </si>
  <si>
    <t>VA PDTL IQF T NBGBFWFC 30 26/30 10X1KG</t>
  </si>
  <si>
    <t>0826VCQ10010K3135A</t>
  </si>
  <si>
    <t>VA PDTL IQF T NBGBFWFC 30 31/35 10X1KG</t>
  </si>
  <si>
    <t>0826VCQ10010K3140A</t>
  </si>
  <si>
    <t>VA PDTL IQF T NBGBFWFC 30 31/40 10X1KG</t>
  </si>
  <si>
    <t>0826VCQ10010K4150A</t>
  </si>
  <si>
    <t>VA PDTL IQF T NBGBFWFC 30 41/50 10X1KG</t>
  </si>
  <si>
    <t>0826VCQ10010K5160A</t>
  </si>
  <si>
    <t>VA PDTL IQF T NBGBFWFC 30 51/60 10X1KG</t>
  </si>
  <si>
    <t>0826VCQ10010K6170A</t>
  </si>
  <si>
    <t>VA PDTL IQF T NBGBFWFC 30 61/70 10X1KG</t>
  </si>
  <si>
    <t>0826VCQ10010K7190A</t>
  </si>
  <si>
    <t>VA PDTL IQF T NBGBFWFC 30 71/90 10X1KG</t>
  </si>
  <si>
    <t>0823EAR12900G0812A</t>
  </si>
  <si>
    <t>VA HLSO BLOCK AA TW 8/12 12X900G</t>
  </si>
  <si>
    <t>0823EAR12900G1315A</t>
  </si>
  <si>
    <t>VA HLSO BLOCK AA TW 13/15 12X900G</t>
  </si>
  <si>
    <t>0823EAR12900G1620A</t>
  </si>
  <si>
    <t>VA HLSO BLOCK AA TW 16/20 12X900G</t>
  </si>
  <si>
    <t>0823EAR12900G2125A</t>
  </si>
  <si>
    <t>VA HLSO BLOCK AA TW 21/25 12X900G</t>
  </si>
  <si>
    <t>0823EAR12900G2630A</t>
  </si>
  <si>
    <t>VA HLSO BLOCK AA TW 26/30 12X900G</t>
  </si>
  <si>
    <t>0823EAR12900G3135A</t>
  </si>
  <si>
    <t>VA HLSO BLOCK AA TW 31/35 12X900G</t>
  </si>
  <si>
    <t>0823EAR12900G3140A</t>
  </si>
  <si>
    <t>VA HLSO BLOCK AA TW 31/40 12X900G</t>
  </si>
  <si>
    <t>0823EAR12900G4150A</t>
  </si>
  <si>
    <t>VA HLSO BLOCK AA TW 41/50 12X900G</t>
  </si>
  <si>
    <t>0823EAR12900G5160A</t>
  </si>
  <si>
    <t>VA HLSO BLOCK AA TW 51/60 12X900G</t>
  </si>
  <si>
    <t>0823EAR12900G6170A</t>
  </si>
  <si>
    <t>VA HLSO BLOCK AA TW 61/70 12X900G</t>
  </si>
  <si>
    <t>0823EC106018K0812A</t>
  </si>
  <si>
    <t>VA HLKSO BLOCK NB 8/12 6X1.8KG</t>
  </si>
  <si>
    <t>0823EC106018K1315A</t>
  </si>
  <si>
    <t>VA HLSO BLOCK NB 13/15 6X1.8KG</t>
  </si>
  <si>
    <t>0823EC106018K1620A</t>
  </si>
  <si>
    <t>VA HLSO BLOCK NB 16/20 6X1.8KG</t>
  </si>
  <si>
    <t>0823EC106018K2125A</t>
  </si>
  <si>
    <t>VA HLSO BLOCK NB 21/25 6X1.8KG</t>
  </si>
  <si>
    <t>0823EC106018K2630A</t>
  </si>
  <si>
    <t>VA HLSO BLOCK NB 26/30 6X1.8KG</t>
  </si>
  <si>
    <t>O823EC106018K3135A</t>
  </si>
  <si>
    <t>VA HLSO BLOCK NB 31/35 6X1.8KG</t>
  </si>
  <si>
    <t>0823EC106018K3140A</t>
  </si>
  <si>
    <t>VA HLSO BLOCK NB 31/40 6X1.8KG</t>
  </si>
  <si>
    <t>0823EC106018K4150A</t>
  </si>
  <si>
    <t>VA HLSO BLOCK NB 41/50 6X1.8KG</t>
  </si>
  <si>
    <t>0823EC106018K5160A</t>
  </si>
  <si>
    <t>VA HLSO BLOCK NB 51/60 6X1.8KG</t>
  </si>
  <si>
    <t>0823EC106018K6170A</t>
  </si>
  <si>
    <t>VA HLSO BLOCK NB 61/70 6X1.8KG</t>
  </si>
  <si>
    <t>0823EC106018K7190A</t>
  </si>
  <si>
    <t>VA HLSO BLOCK NB 71/90 6X1.8KG</t>
  </si>
  <si>
    <t>0826VCI10010K3135A</t>
  </si>
  <si>
    <t>VA PDTL IQF T NBFWFC35 31/35 10X1KG</t>
  </si>
  <si>
    <t>0825GCI10010K3135A</t>
  </si>
  <si>
    <t>VA PDTO IQF T NBFWFC35 31/35 10X1KG</t>
  </si>
  <si>
    <t>0824FC110020L0812A</t>
  </si>
  <si>
    <t>VA HL EZ IQF T NB 8/12 10X2LB</t>
  </si>
  <si>
    <t>0824FC110020L1315A</t>
  </si>
  <si>
    <t>VA HL EZ IQF T NB 13/15 10X2LB</t>
  </si>
  <si>
    <t>0824FC110020L1620A</t>
  </si>
  <si>
    <t>VA HL EZ IQF T NB 16/20 10X2LB</t>
  </si>
  <si>
    <t>0824FC110020L2125A</t>
  </si>
  <si>
    <t>VA HL EZ IQF T NB 21/25 10X2LB</t>
  </si>
  <si>
    <t>0824FC110020L2630A</t>
  </si>
  <si>
    <t>VA HL EZ IQF T NB 26/30 10X2LB</t>
  </si>
  <si>
    <t>0824FC110020L3135A</t>
  </si>
  <si>
    <t>VA HL EZ IQF T NB 31/35 10X2LB</t>
  </si>
  <si>
    <t>0824FC110020L3140A</t>
  </si>
  <si>
    <t>VA HL EZ IQF T NB 31/40 10X2LB</t>
  </si>
  <si>
    <t>0824FC110020L4150A</t>
  </si>
  <si>
    <t>VA HL EZ IQF T NB 41/50 10X2LB</t>
  </si>
  <si>
    <t>0824FC110020L5160A</t>
  </si>
  <si>
    <t>VA HL EZ IQF T NB 51/60 10X2LB</t>
  </si>
  <si>
    <t>0824FC110020L6170A</t>
  </si>
  <si>
    <t>VA HL EZ IQF T NB 61/70 10X2LB</t>
  </si>
  <si>
    <t>0824FC110020L7190A</t>
  </si>
  <si>
    <t>VA HL EZ IQF T NB 71/90 10X2LB</t>
  </si>
  <si>
    <t>0826VC106040L3140P</t>
  </si>
  <si>
    <t>VA PDTL IQF T NB 31/40 6X4LBS</t>
  </si>
  <si>
    <t>0826VC106040L4150P</t>
  </si>
  <si>
    <t>VA PDTL IQF T NB 41/50 6X4LBS</t>
  </si>
  <si>
    <t>0826VC106040L5160P</t>
  </si>
  <si>
    <t>VA PDTL IQF T NB 51/60 6X4LBS</t>
  </si>
  <si>
    <t>0826VC106040L6170P</t>
  </si>
  <si>
    <t>VA PDTL IQF T NB 61/70 6X4LBS</t>
  </si>
  <si>
    <t>0826VC106040L7190P</t>
  </si>
  <si>
    <t>VA PDTL IQF T NB 71/90 6X4LBS</t>
  </si>
  <si>
    <t>0826VC106040L91AKP</t>
  </si>
  <si>
    <t>VA PDTL IQF T NB 91/110 6X4LBS</t>
  </si>
  <si>
    <t>0823G2106018K13151</t>
  </si>
  <si>
    <t>VA HLSO BLOCK TR EXPORT 13/15 6X1.8KG</t>
  </si>
  <si>
    <t>0823G2106018K16201</t>
  </si>
  <si>
    <t>VA HLSO BLOCK TR EXPORT 16/20 6X1.8KG</t>
  </si>
  <si>
    <t>0823G2106018K21251</t>
  </si>
  <si>
    <t>VA HLSO BLOCK TR EXPORT 21/25 6X1.8KG</t>
  </si>
  <si>
    <t>0823G2106018K26301</t>
  </si>
  <si>
    <t>VA HLSO BLOCK TR EXPORT 26/30 6X1.8KG</t>
  </si>
  <si>
    <t>0823G2106018K31351</t>
  </si>
  <si>
    <t>VA HLSO BLOCK TR EXPORT 31/35 6X1.8KG</t>
  </si>
  <si>
    <t>0823G2106018K31401</t>
  </si>
  <si>
    <t>VA HLSO BLOCK TR EXPORT 31/40 6X1.8KG</t>
  </si>
  <si>
    <t>0823G2106018K41501</t>
  </si>
  <si>
    <t>VA HLSO BLOCK TR EXPORT 41/50 6X1.8KG</t>
  </si>
  <si>
    <t>0823G2106018K51601</t>
  </si>
  <si>
    <t>VA HLSO BLOCK TR EXPORT 51/60 6X1.8KG</t>
  </si>
  <si>
    <t>0826VCD10010K1620P</t>
  </si>
  <si>
    <t>0826VCD10010K2630P</t>
  </si>
  <si>
    <t>0826VCD10010K3140P</t>
  </si>
  <si>
    <t>0826VCD10010K4150P</t>
  </si>
  <si>
    <t>0825GCD10010K1620P</t>
  </si>
  <si>
    <t>VA PDTO IQF T NBFWNC35 16/20 10X1.0KG</t>
  </si>
  <si>
    <t>0825GCD10010K2630P</t>
  </si>
  <si>
    <t>VA PDTO IQF T NBFWNC35 26/30 10X1.0KG</t>
  </si>
  <si>
    <t>0825GCD10010K3140P</t>
  </si>
  <si>
    <t>VA PDTO IQF T NBFWNC35 31/40 10X1.0KG</t>
  </si>
  <si>
    <t>0825GCD10010K4150P</t>
  </si>
  <si>
    <t>VA PDTO IQF T NBFWNC35 41/50 10X1.0KG</t>
  </si>
  <si>
    <t>PACKER</t>
  </si>
  <si>
    <t>ITEM</t>
  </si>
  <si>
    <t>Qty in kgs</t>
  </si>
  <si>
    <t>QUANTITY</t>
  </si>
  <si>
    <t>PRICE</t>
  </si>
  <si>
    <t>Price per kg - Net count frozen weight</t>
  </si>
  <si>
    <t>Offer price</t>
  </si>
  <si>
    <t>Volume</t>
  </si>
  <si>
    <t>KNC Agro</t>
  </si>
  <si>
    <t>Raw PDTOn 16/20</t>
  </si>
  <si>
    <t>Raw PDTOn 26/30</t>
  </si>
  <si>
    <t>Raw PDTOff 26/30</t>
  </si>
  <si>
    <t>Raw PDTOff 51/60</t>
  </si>
  <si>
    <t>Sandhya Marines</t>
  </si>
  <si>
    <t>Sharat</t>
  </si>
  <si>
    <t>Raw PDTOn 21/25</t>
  </si>
  <si>
    <t xml:space="preserve">Sigma </t>
  </si>
  <si>
    <t>Raw PDToff 41/50</t>
  </si>
  <si>
    <t>Raw PDTOff 31/40</t>
  </si>
  <si>
    <t>check</t>
  </si>
  <si>
    <t xml:space="preserve">16/20 </t>
  </si>
  <si>
    <t>pdto</t>
  </si>
  <si>
    <t>kgs</t>
  </si>
  <si>
    <t>pd</t>
  </si>
  <si>
    <t>-</t>
  </si>
  <si>
    <t>Raw PDTOff 41/50</t>
  </si>
  <si>
    <t>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</si>
</sst>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/mmm/yy"/>
    <numFmt numFmtId="165" formatCode="_(* #,##0.00_);_(* \(#,##0.00\);_(* &quot;-&quot;??.00_);_(@_)"/>
    <numFmt numFmtId="166" formatCode="_(* #,##0_);_(* \(#,##0\);_(* &quot;-&quot;??_);_(@_)"/>
    <numFmt numFmtId="167" formatCode="_(* #,##0.00_);_(* \(#,##0.00\);_(* &quot;-&quot;??_);_(@_)"/>
    <numFmt numFmtId="168" formatCode="_ * #,##0_ ;_ * \-#,##0_ ;_ * &quot;-&quot;??_ ;_ @_ "/>
    <numFmt numFmtId="169" formatCode="_(* #,##0.000_);_(* \(#,##0.000\);_(* &quot;-&quot;??_);_(@_)"/>
    <numFmt numFmtId="170" formatCode="0.0%"/>
  </numFmts>
  <fonts count="33">
    <font>
      <sz val="11"/>
      <color theme="1"/>
      <name val="Calibri"/>
      <scheme val="minor"/>
    </font>
    <font>
      <sz val="11"/>
      <color rgb="FFC00000"/>
      <name val="Calibri"/>
    </font>
    <font>
      <sz val="11"/>
      <color rgb="FF385623"/>
      <name val="Tahoma"/>
    </font>
    <font>
      <sz val="11"/>
      <color theme="1"/>
      <name val="Calibri"/>
    </font>
    <font>
      <b/>
      <sz val="24"/>
      <color theme="1"/>
      <name val="Calibri"/>
    </font>
    <font>
      <sz val="11"/>
      <color theme="1"/>
      <name val="Calibri"/>
      <scheme val="minor"/>
    </font>
    <font>
      <b/>
      <sz val="16"/>
      <color theme="1"/>
      <name val="Calibri"/>
    </font>
    <font>
      <b/>
      <sz val="24"/>
      <color rgb="FFFF0000"/>
      <name val="Arial"/>
    </font>
    <font>
      <sz val="10"/>
      <color theme="1"/>
      <name val="Calibri"/>
    </font>
    <font>
      <sz val="22"/>
      <color theme="1"/>
      <name val="Calibri"/>
    </font>
    <font>
      <sz val="11"/>
      <name val="Calibri"/>
    </font>
    <font>
      <sz val="9"/>
      <color theme="1"/>
      <name val="Calibri"/>
    </font>
    <font>
      <sz val="11"/>
      <color theme="0"/>
      <name val="Calibri"/>
    </font>
    <font>
      <sz val="8"/>
      <color theme="1"/>
      <name val="Calibri"/>
    </font>
    <font>
      <sz val="11"/>
      <color rgb="FFBFBFBF"/>
      <name val="Calibri"/>
    </font>
    <font>
      <sz val="11"/>
      <color rgb="FF0070C0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4"/>
      <color theme="1"/>
      <name val="Calibri"/>
    </font>
    <font>
      <b/>
      <u/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b/>
      <u/>
      <sz val="14"/>
      <color theme="1"/>
      <name val="Calibri"/>
    </font>
    <font>
      <b/>
      <u/>
      <sz val="11"/>
      <color theme="1"/>
      <name val="Calibri"/>
    </font>
    <font>
      <i/>
      <sz val="11"/>
      <color theme="1"/>
      <name val="Bahnschrift condensed"/>
    </font>
    <font>
      <sz val="11"/>
      <color theme="1"/>
      <name val="Tahoma"/>
    </font>
    <font>
      <sz val="11"/>
      <color theme="1"/>
      <name val="Carlito"/>
    </font>
    <font>
      <sz val="11"/>
      <color theme="1"/>
      <name val="Arial"/>
    </font>
    <font>
      <sz val="11"/>
      <color theme="1"/>
      <name val="&quot;Times New Roman&quot;"/>
    </font>
    <font>
      <sz val="11"/>
      <color theme="1"/>
      <name val="Arial"/>
    </font>
    <font>
      <u/>
      <sz val="11"/>
      <color rgb="FF222222"/>
      <name val="Arial"/>
    </font>
    <font>
      <sz val="11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9CC2E5"/>
        <bgColor rgb="FF9CC2E5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F7CAAC"/>
        <bgColor rgb="FFF7CAAC"/>
      </patternFill>
    </fill>
    <fill>
      <patternFill patternType="solid">
        <fgColor theme="7"/>
        <bgColor theme="7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3" borderId="1" xfId="0" applyFont="1" applyFill="1" applyBorder="1"/>
    <xf numFmtId="0" fontId="4" fillId="0" borderId="0" xfId="0" applyFont="1"/>
    <xf numFmtId="0" fontId="5" fillId="0" borderId="0" xfId="0" applyFont="1"/>
    <xf numFmtId="164" fontId="3" fillId="2" borderId="1" xfId="0" applyNumberFormat="1" applyFont="1" applyFill="1" applyBorder="1"/>
    <xf numFmtId="164" fontId="3" fillId="0" borderId="0" xfId="0" applyNumberFormat="1" applyFont="1"/>
    <xf numFmtId="0" fontId="3" fillId="2" borderId="1" xfId="0" applyFont="1" applyFill="1" applyBorder="1"/>
    <xf numFmtId="0" fontId="6" fillId="0" borderId="0" xfId="0" applyFont="1"/>
    <xf numFmtId="0" fontId="3" fillId="0" borderId="0" xfId="0" applyFont="1"/>
    <xf numFmtId="0" fontId="7" fillId="0" borderId="0" xfId="0" applyFont="1"/>
    <xf numFmtId="164" fontId="3" fillId="4" borderId="1" xfId="0" applyNumberFormat="1" applyFont="1" applyFill="1" applyBorder="1"/>
    <xf numFmtId="164" fontId="3" fillId="0" borderId="0" xfId="0" applyNumberFormat="1" applyFont="1" applyAlignment="1">
      <alignment horizontal="right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8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Alignment="1">
      <alignment wrapText="1"/>
    </xf>
    <xf numFmtId="0" fontId="3" fillId="6" borderId="1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4" xfId="0" applyFont="1" applyBorder="1" applyAlignment="1">
      <alignment horizontal="center" wrapText="1"/>
    </xf>
    <xf numFmtId="0" fontId="3" fillId="0" borderId="14" xfId="0" quotePrefix="1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11" fillId="0" borderId="12" xfId="0" applyFont="1" applyBorder="1"/>
    <xf numFmtId="0" fontId="11" fillId="0" borderId="13" xfId="0" applyFont="1" applyBorder="1"/>
    <xf numFmtId="0" fontId="3" fillId="2" borderId="14" xfId="0" applyFont="1" applyFill="1" applyBorder="1" applyAlignment="1">
      <alignment horizontal="center"/>
    </xf>
    <xf numFmtId="43" fontId="3" fillId="2" borderId="16" xfId="0" applyNumberFormat="1" applyFont="1" applyFill="1" applyBorder="1"/>
    <xf numFmtId="0" fontId="3" fillId="2" borderId="14" xfId="0" applyFont="1" applyFill="1" applyBorder="1"/>
    <xf numFmtId="43" fontId="3" fillId="0" borderId="14" xfId="0" applyNumberFormat="1" applyFont="1" applyBorder="1"/>
    <xf numFmtId="165" fontId="3" fillId="2" borderId="14" xfId="0" applyNumberFormat="1" applyFont="1" applyFill="1" applyBorder="1"/>
    <xf numFmtId="43" fontId="3" fillId="2" borderId="14" xfId="0" applyNumberFormat="1" applyFont="1" applyFill="1" applyBorder="1"/>
    <xf numFmtId="0" fontId="3" fillId="0" borderId="17" xfId="0" applyFont="1" applyBorder="1" applyAlignment="1">
      <alignment horizontal="center"/>
    </xf>
    <xf numFmtId="43" fontId="3" fillId="0" borderId="17" xfId="0" applyNumberFormat="1" applyFont="1" applyBorder="1"/>
    <xf numFmtId="43" fontId="3" fillId="2" borderId="18" xfId="0" applyNumberFormat="1" applyFont="1" applyFill="1" applyBorder="1"/>
    <xf numFmtId="166" fontId="3" fillId="2" borderId="14" xfId="0" applyNumberFormat="1" applyFont="1" applyFill="1" applyBorder="1"/>
    <xf numFmtId="11" fontId="8" fillId="2" borderId="14" xfId="0" applyNumberFormat="1" applyFont="1" applyFill="1" applyBorder="1"/>
    <xf numFmtId="167" fontId="3" fillId="0" borderId="14" xfId="0" applyNumberFormat="1" applyFont="1" applyBorder="1"/>
    <xf numFmtId="0" fontId="12" fillId="7" borderId="14" xfId="0" applyFont="1" applyFill="1" applyBorder="1" applyAlignment="1">
      <alignment horizontal="center"/>
    </xf>
    <xf numFmtId="43" fontId="12" fillId="7" borderId="14" xfId="0" applyNumberFormat="1" applyFont="1" applyFill="1" applyBorder="1"/>
    <xf numFmtId="0" fontId="12" fillId="0" borderId="0" xfId="0" applyFont="1" applyAlignment="1">
      <alignment horizontal="center"/>
    </xf>
    <xf numFmtId="168" fontId="12" fillId="0" borderId="0" xfId="0" applyNumberFormat="1" applyFont="1"/>
    <xf numFmtId="43" fontId="12" fillId="0" borderId="0" xfId="0" applyNumberFormat="1" applyFont="1"/>
    <xf numFmtId="166" fontId="12" fillId="0" borderId="0" xfId="0" applyNumberFormat="1" applyFont="1"/>
    <xf numFmtId="0" fontId="3" fillId="8" borderId="20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/>
    </xf>
    <xf numFmtId="0" fontId="13" fillId="0" borderId="6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3" fillId="0" borderId="6" xfId="0" applyFont="1" applyBorder="1" applyAlignment="1">
      <alignment horizontal="right"/>
    </xf>
    <xf numFmtId="0" fontId="11" fillId="0" borderId="7" xfId="0" applyFont="1" applyBorder="1"/>
    <xf numFmtId="11" fontId="11" fillId="0" borderId="7" xfId="0" applyNumberFormat="1" applyFont="1" applyBorder="1"/>
    <xf numFmtId="0" fontId="3" fillId="0" borderId="22" xfId="0" applyFont="1" applyBorder="1"/>
    <xf numFmtId="43" fontId="3" fillId="0" borderId="6" xfId="0" applyNumberFormat="1" applyFont="1" applyBorder="1" applyAlignment="1">
      <alignment wrapText="1"/>
    </xf>
    <xf numFmtId="43" fontId="3" fillId="0" borderId="22" xfId="0" applyNumberFormat="1" applyFont="1" applyBorder="1" applyAlignment="1">
      <alignment wrapText="1"/>
    </xf>
    <xf numFmtId="10" fontId="3" fillId="0" borderId="6" xfId="0" applyNumberFormat="1" applyFont="1" applyBorder="1"/>
    <xf numFmtId="10" fontId="3" fillId="0" borderId="22" xfId="0" applyNumberFormat="1" applyFont="1" applyBorder="1"/>
    <xf numFmtId="168" fontId="3" fillId="0" borderId="6" xfId="0" applyNumberFormat="1" applyFont="1" applyBorder="1"/>
    <xf numFmtId="168" fontId="3" fillId="0" borderId="22" xfId="0" applyNumberFormat="1" applyFont="1" applyBorder="1"/>
    <xf numFmtId="0" fontId="14" fillId="9" borderId="23" xfId="0" applyFont="1" applyFill="1" applyBorder="1" applyAlignment="1">
      <alignment horizontal="right"/>
    </xf>
    <xf numFmtId="0" fontId="14" fillId="9" borderId="24" xfId="0" applyFont="1" applyFill="1" applyBorder="1" applyAlignment="1">
      <alignment horizontal="right"/>
    </xf>
    <xf numFmtId="167" fontId="14" fillId="9" borderId="23" xfId="0" applyNumberFormat="1" applyFont="1" applyFill="1" applyBorder="1"/>
    <xf numFmtId="167" fontId="14" fillId="9" borderId="25" xfId="0" applyNumberFormat="1" applyFont="1" applyFill="1" applyBorder="1"/>
    <xf numFmtId="164" fontId="3" fillId="0" borderId="7" xfId="0" applyNumberFormat="1" applyFont="1" applyBorder="1" applyAlignment="1">
      <alignment horizontal="right"/>
    </xf>
    <xf numFmtId="168" fontId="15" fillId="2" borderId="23" xfId="0" applyNumberFormat="1" applyFont="1" applyFill="1" applyBorder="1"/>
    <xf numFmtId="168" fontId="3" fillId="0" borderId="6" xfId="0" applyNumberFormat="1" applyFont="1" applyBorder="1" applyAlignment="1">
      <alignment wrapText="1"/>
    </xf>
    <xf numFmtId="168" fontId="3" fillId="0" borderId="22" xfId="0" applyNumberFormat="1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16" fillId="0" borderId="27" xfId="0" applyFont="1" applyBorder="1" applyAlignment="1">
      <alignment horizontal="right" wrapText="1"/>
    </xf>
    <xf numFmtId="0" fontId="17" fillId="0" borderId="28" xfId="0" applyFont="1" applyBorder="1" applyAlignment="1">
      <alignment horizontal="right" wrapText="1"/>
    </xf>
    <xf numFmtId="0" fontId="18" fillId="0" borderId="29" xfId="0" applyFont="1" applyBorder="1" applyAlignment="1">
      <alignment horizontal="right" wrapText="1"/>
    </xf>
    <xf numFmtId="0" fontId="19" fillId="0" borderId="30" xfId="0" applyFont="1" applyBorder="1"/>
    <xf numFmtId="0" fontId="20" fillId="0" borderId="7" xfId="0" applyFont="1" applyBorder="1"/>
    <xf numFmtId="0" fontId="3" fillId="0" borderId="7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31" xfId="0" applyFont="1" applyBorder="1" applyAlignment="1">
      <alignment wrapText="1"/>
    </xf>
    <xf numFmtId="0" fontId="3" fillId="0" borderId="30" xfId="0" applyFont="1" applyBorder="1"/>
    <xf numFmtId="167" fontId="3" fillId="0" borderId="7" xfId="0" applyNumberFormat="1" applyFont="1" applyBorder="1"/>
    <xf numFmtId="167" fontId="3" fillId="0" borderId="22" xfId="0" applyNumberFormat="1" applyFont="1" applyBorder="1"/>
    <xf numFmtId="167" fontId="3" fillId="0" borderId="31" xfId="0" applyNumberFormat="1" applyFont="1" applyBorder="1"/>
    <xf numFmtId="167" fontId="3" fillId="2" borderId="24" xfId="0" applyNumberFormat="1" applyFont="1" applyFill="1" applyBorder="1"/>
    <xf numFmtId="43" fontId="3" fillId="2" borderId="24" xfId="0" applyNumberFormat="1" applyFont="1" applyFill="1" applyBorder="1"/>
    <xf numFmtId="43" fontId="3" fillId="0" borderId="31" xfId="0" applyNumberFormat="1" applyFont="1" applyBorder="1"/>
    <xf numFmtId="0" fontId="14" fillId="9" borderId="32" xfId="0" applyFont="1" applyFill="1" applyBorder="1"/>
    <xf numFmtId="0" fontId="3" fillId="9" borderId="24" xfId="0" applyFont="1" applyFill="1" applyBorder="1"/>
    <xf numFmtId="167" fontId="15" fillId="9" borderId="24" xfId="0" applyNumberFormat="1" applyFont="1" applyFill="1" applyBorder="1"/>
    <xf numFmtId="167" fontId="15" fillId="9" borderId="25" xfId="0" applyNumberFormat="1" applyFont="1" applyFill="1" applyBorder="1"/>
    <xf numFmtId="169" fontId="3" fillId="2" borderId="24" xfId="0" applyNumberFormat="1" applyFont="1" applyFill="1" applyBorder="1"/>
    <xf numFmtId="43" fontId="3" fillId="0" borderId="22" xfId="0" applyNumberFormat="1" applyFont="1" applyBorder="1"/>
    <xf numFmtId="43" fontId="3" fillId="0" borderId="7" xfId="0" applyNumberFormat="1" applyFont="1" applyBorder="1"/>
    <xf numFmtId="9" fontId="3" fillId="2" borderId="24" xfId="0" applyNumberFormat="1" applyFont="1" applyFill="1" applyBorder="1"/>
    <xf numFmtId="170" fontId="3" fillId="2" borderId="24" xfId="0" applyNumberFormat="1" applyFont="1" applyFill="1" applyBorder="1"/>
    <xf numFmtId="0" fontId="3" fillId="0" borderId="30" xfId="0" applyFont="1" applyBorder="1" applyAlignment="1">
      <alignment horizontal="right"/>
    </xf>
    <xf numFmtId="167" fontId="3" fillId="0" borderId="33" xfId="0" applyNumberFormat="1" applyFont="1" applyBorder="1"/>
    <xf numFmtId="167" fontId="3" fillId="0" borderId="34" xfId="0" applyNumberFormat="1" applyFont="1" applyBorder="1"/>
    <xf numFmtId="0" fontId="21" fillId="0" borderId="0" xfId="0" applyFont="1"/>
    <xf numFmtId="44" fontId="21" fillId="0" borderId="0" xfId="0" applyNumberFormat="1" applyFont="1"/>
    <xf numFmtId="0" fontId="21" fillId="10" borderId="32" xfId="0" applyFont="1" applyFill="1" applyBorder="1"/>
    <xf numFmtId="0" fontId="21" fillId="10" borderId="24" xfId="0" applyFont="1" applyFill="1" applyBorder="1"/>
    <xf numFmtId="40" fontId="22" fillId="10" borderId="24" xfId="0" applyNumberFormat="1" applyFont="1" applyFill="1" applyBorder="1"/>
    <xf numFmtId="40" fontId="22" fillId="10" borderId="35" xfId="0" applyNumberFormat="1" applyFont="1" applyFill="1" applyBorder="1"/>
    <xf numFmtId="38" fontId="22" fillId="10" borderId="24" xfId="0" applyNumberFormat="1" applyFont="1" applyFill="1" applyBorder="1"/>
    <xf numFmtId="38" fontId="22" fillId="10" borderId="35" xfId="0" applyNumberFormat="1" applyFont="1" applyFill="1" applyBorder="1"/>
    <xf numFmtId="44" fontId="21" fillId="10" borderId="36" xfId="0" applyNumberFormat="1" applyFont="1" applyFill="1" applyBorder="1"/>
    <xf numFmtId="44" fontId="21" fillId="10" borderId="37" xfId="0" applyNumberFormat="1" applyFont="1" applyFill="1" applyBorder="1"/>
    <xf numFmtId="9" fontId="22" fillId="10" borderId="37" xfId="0" applyNumberFormat="1" applyFont="1" applyFill="1" applyBorder="1"/>
    <xf numFmtId="9" fontId="22" fillId="10" borderId="38" xfId="0" applyNumberFormat="1" applyFont="1" applyFill="1" applyBorder="1"/>
    <xf numFmtId="0" fontId="23" fillId="0" borderId="26" xfId="0" applyFont="1" applyBorder="1"/>
    <xf numFmtId="0" fontId="24" fillId="0" borderId="27" xfId="0" applyFont="1" applyBorder="1"/>
    <xf numFmtId="44" fontId="3" fillId="0" borderId="27" xfId="0" applyNumberFormat="1" applyFont="1" applyBorder="1"/>
    <xf numFmtId="44" fontId="3" fillId="0" borderId="29" xfId="0" applyNumberFormat="1" applyFont="1" applyBorder="1"/>
    <xf numFmtId="43" fontId="3" fillId="0" borderId="33" xfId="0" applyNumberFormat="1" applyFont="1" applyBorder="1"/>
    <xf numFmtId="43" fontId="3" fillId="0" borderId="34" xfId="0" applyNumberFormat="1" applyFont="1" applyBorder="1"/>
    <xf numFmtId="167" fontId="3" fillId="0" borderId="39" xfId="0" applyNumberFormat="1" applyFont="1" applyBorder="1"/>
    <xf numFmtId="167" fontId="3" fillId="0" borderId="40" xfId="0" applyNumberFormat="1" applyFont="1" applyBorder="1"/>
    <xf numFmtId="0" fontId="21" fillId="11" borderId="32" xfId="0" applyFont="1" applyFill="1" applyBorder="1"/>
    <xf numFmtId="0" fontId="21" fillId="11" borderId="24" xfId="0" applyFont="1" applyFill="1" applyBorder="1"/>
    <xf numFmtId="40" fontId="22" fillId="11" borderId="24" xfId="0" applyNumberFormat="1" applyFont="1" applyFill="1" applyBorder="1"/>
    <xf numFmtId="40" fontId="22" fillId="11" borderId="35" xfId="0" applyNumberFormat="1" applyFont="1" applyFill="1" applyBorder="1"/>
    <xf numFmtId="38" fontId="22" fillId="11" borderId="24" xfId="0" applyNumberFormat="1" applyFont="1" applyFill="1" applyBorder="1"/>
    <xf numFmtId="38" fontId="22" fillId="11" borderId="35" xfId="0" applyNumberFormat="1" applyFont="1" applyFill="1" applyBorder="1"/>
    <xf numFmtId="44" fontId="21" fillId="11" borderId="36" xfId="0" applyNumberFormat="1" applyFont="1" applyFill="1" applyBorder="1"/>
    <xf numFmtId="44" fontId="21" fillId="11" borderId="37" xfId="0" applyNumberFormat="1" applyFont="1" applyFill="1" applyBorder="1"/>
    <xf numFmtId="9" fontId="22" fillId="11" borderId="37" xfId="0" applyNumberFormat="1" applyFont="1" applyFill="1" applyBorder="1"/>
    <xf numFmtId="9" fontId="22" fillId="11" borderId="38" xfId="0" applyNumberFormat="1" applyFont="1" applyFill="1" applyBorder="1"/>
    <xf numFmtId="0" fontId="21" fillId="0" borderId="6" xfId="0" applyFont="1" applyBorder="1"/>
    <xf numFmtId="0" fontId="21" fillId="2" borderId="41" xfId="0" applyFont="1" applyFill="1" applyBorder="1"/>
    <xf numFmtId="0" fontId="3" fillId="2" borderId="41" xfId="0" applyFont="1" applyFill="1" applyBorder="1"/>
    <xf numFmtId="0" fontId="3" fillId="2" borderId="42" xfId="0" applyFont="1" applyFill="1" applyBorder="1"/>
    <xf numFmtId="0" fontId="25" fillId="0" borderId="6" xfId="0" applyFont="1" applyBorder="1"/>
    <xf numFmtId="0" fontId="3" fillId="2" borderId="43" xfId="0" applyFont="1" applyFill="1" applyBorder="1"/>
    <xf numFmtId="0" fontId="3" fillId="2" borderId="44" xfId="0" applyFont="1" applyFill="1" applyBorder="1"/>
    <xf numFmtId="0" fontId="3" fillId="2" borderId="45" xfId="0" applyFont="1" applyFill="1" applyBorder="1"/>
    <xf numFmtId="0" fontId="3" fillId="2" borderId="46" xfId="0" applyFont="1" applyFill="1" applyBorder="1"/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5" borderId="1" xfId="0" quotePrefix="1" applyFont="1" applyFill="1" applyBorder="1"/>
    <xf numFmtId="0" fontId="3" fillId="0" borderId="0" xfId="0" applyFont="1" applyAlignment="1">
      <alignment horizontal="center"/>
    </xf>
    <xf numFmtId="0" fontId="3" fillId="16" borderId="1" xfId="0" applyFont="1" applyFill="1" applyBorder="1"/>
    <xf numFmtId="0" fontId="3" fillId="17" borderId="1" xfId="0" applyFont="1" applyFill="1" applyBorder="1"/>
    <xf numFmtId="0" fontId="3" fillId="0" borderId="10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18" borderId="1" xfId="0" applyFont="1" applyFill="1" applyBorder="1"/>
    <xf numFmtId="43" fontId="3" fillId="18" borderId="1" xfId="0" applyNumberFormat="1" applyFont="1" applyFill="1" applyBorder="1"/>
    <xf numFmtId="43" fontId="3" fillId="0" borderId="0" xfId="0" applyNumberFormat="1" applyFont="1"/>
    <xf numFmtId="11" fontId="3" fillId="0" borderId="22" xfId="0" applyNumberFormat="1" applyFont="1" applyBorder="1"/>
    <xf numFmtId="11" fontId="3" fillId="0" borderId="49" xfId="0" applyNumberFormat="1" applyFont="1" applyBorder="1"/>
    <xf numFmtId="17" fontId="3" fillId="0" borderId="0" xfId="0" applyNumberFormat="1" applyFont="1"/>
    <xf numFmtId="16" fontId="3" fillId="0" borderId="0" xfId="0" applyNumberFormat="1" applyFont="1"/>
    <xf numFmtId="0" fontId="26" fillId="0" borderId="0" xfId="0" applyFont="1" applyAlignment="1">
      <alignment horizontal="center"/>
    </xf>
    <xf numFmtId="10" fontId="26" fillId="0" borderId="0" xfId="0" applyNumberFormat="1" applyFont="1"/>
    <xf numFmtId="10" fontId="3" fillId="0" borderId="0" xfId="0" applyNumberFormat="1" applyFont="1"/>
    <xf numFmtId="9" fontId="3" fillId="0" borderId="0" xfId="0" applyNumberFormat="1" applyFont="1"/>
    <xf numFmtId="0" fontId="27" fillId="0" borderId="14" xfId="0" applyFont="1" applyBorder="1" applyAlignment="1">
      <alignment horizontal="center" vertical="top"/>
    </xf>
    <xf numFmtId="0" fontId="27" fillId="0" borderId="33" xfId="0" applyFont="1" applyBorder="1" applyAlignment="1">
      <alignment horizontal="center" vertical="top"/>
    </xf>
    <xf numFmtId="0" fontId="28" fillId="0" borderId="33" xfId="0" applyFont="1" applyBorder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30" fillId="0" borderId="0" xfId="0" applyFont="1" applyAlignment="1">
      <alignment horizontal="center"/>
    </xf>
    <xf numFmtId="0" fontId="30" fillId="0" borderId="0" xfId="0" applyFont="1"/>
    <xf numFmtId="0" fontId="27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 vertical="top"/>
    </xf>
    <xf numFmtId="0" fontId="27" fillId="0" borderId="9" xfId="0" applyFont="1" applyBorder="1" applyAlignment="1">
      <alignment horizontal="center" vertical="top"/>
    </xf>
    <xf numFmtId="0" fontId="30" fillId="0" borderId="0" xfId="0" applyFont="1" applyAlignment="1">
      <alignment horizontal="right"/>
    </xf>
    <xf numFmtId="0" fontId="27" fillId="0" borderId="7" xfId="0" applyFont="1" applyBorder="1" applyAlignment="1">
      <alignment horizontal="center" vertical="top"/>
    </xf>
    <xf numFmtId="0" fontId="29" fillId="0" borderId="7" xfId="0" applyFont="1" applyBorder="1" applyAlignment="1">
      <alignment horizontal="center" vertical="top"/>
    </xf>
    <xf numFmtId="0" fontId="30" fillId="0" borderId="7" xfId="0" applyFont="1" applyBorder="1" applyAlignment="1">
      <alignment horizontal="center"/>
    </xf>
    <xf numFmtId="0" fontId="30" fillId="0" borderId="7" xfId="0" applyFont="1" applyBorder="1" applyAlignment="1">
      <alignment horizontal="right"/>
    </xf>
    <xf numFmtId="0" fontId="30" fillId="0" borderId="22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30" fillId="0" borderId="9" xfId="0" applyFont="1" applyBorder="1"/>
    <xf numFmtId="0" fontId="31" fillId="19" borderId="0" xfId="0" applyFont="1" applyFill="1"/>
    <xf numFmtId="0" fontId="32" fillId="19" borderId="0" xfId="0" applyFont="1" applyFill="1"/>
    <xf numFmtId="0" fontId="9" fillId="5" borderId="11" xfId="0" applyFont="1" applyFill="1" applyBorder="1" applyAlignment="1">
      <alignment horizontal="center" textRotation="45" wrapText="1"/>
    </xf>
    <xf numFmtId="0" fontId="10" fillId="0" borderId="15" xfId="0" applyFont="1" applyBorder="1"/>
    <xf numFmtId="0" fontId="10" fillId="0" borderId="19" xfId="0" applyFont="1" applyBorder="1"/>
    <xf numFmtId="0" fontId="3" fillId="8" borderId="47" xfId="0" applyFont="1" applyFill="1" applyBorder="1" applyAlignment="1">
      <alignment horizontal="center"/>
    </xf>
    <xf numFmtId="0" fontId="10" fillId="0" borderId="4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Z1000"/>
  <sheetViews>
    <sheetView showGridLines="0" tabSelected="1" topLeftCell="G1" zoomScale="62" zoomScaleNormal="50" workbookViewId="0">
      <selection activeCell="Q10" sqref="Q10"/>
    </sheetView>
  </sheetViews>
  <sheetFormatPr defaultColWidth="14.453125" defaultRowHeight="15" customHeight="1"/>
  <cols>
    <col min="1" max="1" width="19.90625" bestFit="1" customWidth="1"/>
    <col min="2" max="2" width="33.36328125" customWidth="1"/>
    <col min="3" max="3" width="22.7265625" customWidth="1"/>
    <col min="4" max="4" width="49" customWidth="1"/>
    <col min="5" max="5" width="27.26953125" customWidth="1"/>
    <col min="6" max="6" width="22.81640625" customWidth="1"/>
    <col min="7" max="13" width="18.08984375" customWidth="1"/>
    <col min="14" max="14" width="7.54296875" bestFit="1" customWidth="1"/>
    <col min="15" max="15" width="11.36328125" bestFit="1" customWidth="1"/>
    <col min="16" max="16" width="10.6328125" bestFit="1" customWidth="1"/>
    <col min="17" max="17" width="18.08984375" customWidth="1"/>
    <col min="18" max="26" width="9" customWidth="1"/>
  </cols>
  <sheetData>
    <row r="1" spans="1:17" ht="14.5">
      <c r="E1" s="1" t="s">
        <v>0</v>
      </c>
      <c r="F1" s="1"/>
      <c r="G1" s="1"/>
      <c r="I1" s="2" t="s">
        <v>1</v>
      </c>
      <c r="J1" s="3"/>
    </row>
    <row r="2" spans="1:17" ht="31">
      <c r="C2" s="4" t="s">
        <v>2</v>
      </c>
      <c r="L2" s="5" t="s">
        <v>3</v>
      </c>
      <c r="M2" s="6">
        <v>44509</v>
      </c>
      <c r="N2" s="7"/>
      <c r="O2" s="7"/>
    </row>
    <row r="3" spans="1:17" ht="30">
      <c r="C3" s="5" t="s">
        <v>4</v>
      </c>
      <c r="D3" s="8"/>
      <c r="E3" s="8"/>
      <c r="F3" s="8"/>
      <c r="G3" s="9" t="s">
        <v>5</v>
      </c>
      <c r="I3" s="10"/>
      <c r="J3" s="11"/>
      <c r="K3" s="5">
        <f ca="1">IFERROR(__xludf.DUMMYFUNCTION("GOOGLEFINANCE(K4)"),81.6395)</f>
        <v>81.639499999999998</v>
      </c>
      <c r="L3" s="5" t="s">
        <v>6</v>
      </c>
      <c r="M3" s="12"/>
    </row>
    <row r="4" spans="1:17" ht="14.5">
      <c r="C4" s="5" t="s">
        <v>7</v>
      </c>
      <c r="D4" s="6"/>
      <c r="E4" s="6"/>
      <c r="F4" s="6"/>
      <c r="G4" s="5" t="s">
        <v>8</v>
      </c>
      <c r="H4" s="13" t="s">
        <v>9</v>
      </c>
      <c r="I4" s="8"/>
      <c r="J4" s="8">
        <f ca="1">IFERROR(__xludf.DUMMYFUNCTION("GOOGLEFINANCE(K4)"),81.6395)</f>
        <v>81.639499999999998</v>
      </c>
      <c r="K4" s="5" t="s">
        <v>10</v>
      </c>
      <c r="L4" s="14"/>
      <c r="M4" s="15"/>
      <c r="N4" s="14"/>
      <c r="O4" s="15"/>
      <c r="P4" s="16"/>
      <c r="Q4" s="15"/>
    </row>
    <row r="5" spans="1:17" ht="14.5">
      <c r="C5" s="5" t="s">
        <v>11</v>
      </c>
      <c r="D5" s="8" t="s">
        <v>12</v>
      </c>
      <c r="E5" s="8"/>
      <c r="F5" s="8"/>
      <c r="G5" s="17"/>
      <c r="I5" s="6"/>
      <c r="J5" s="6"/>
      <c r="L5" s="18"/>
      <c r="M5" s="19"/>
      <c r="N5" s="18"/>
      <c r="O5" s="19"/>
      <c r="P5" s="10"/>
      <c r="Q5" s="19"/>
    </row>
    <row r="6" spans="1:17" ht="14.5">
      <c r="C6" s="5" t="s">
        <v>13</v>
      </c>
      <c r="D6" s="8" t="s">
        <v>14</v>
      </c>
      <c r="E6" s="8"/>
      <c r="F6" s="8"/>
      <c r="G6" s="17" t="s">
        <v>15</v>
      </c>
      <c r="I6" s="8"/>
      <c r="J6" s="6"/>
      <c r="L6" s="20"/>
      <c r="M6" s="21"/>
      <c r="N6" s="20"/>
      <c r="O6" s="21"/>
      <c r="P6" s="22"/>
      <c r="Q6" s="21"/>
    </row>
    <row r="7" spans="1:17" ht="14.5">
      <c r="C7" s="5" t="s">
        <v>16</v>
      </c>
      <c r="D7" s="8"/>
      <c r="E7" s="8"/>
      <c r="F7" s="8"/>
      <c r="G7" s="17" t="s">
        <v>17</v>
      </c>
      <c r="I7" s="8"/>
      <c r="J7" s="6"/>
      <c r="L7" s="20" t="s">
        <v>18</v>
      </c>
      <c r="M7" s="21"/>
      <c r="N7" s="20" t="s">
        <v>19</v>
      </c>
      <c r="O7" s="21"/>
      <c r="P7" s="22" t="s">
        <v>20</v>
      </c>
      <c r="Q7" s="21"/>
    </row>
    <row r="8" spans="1:17" ht="14.5">
      <c r="C8" s="5" t="s">
        <v>21</v>
      </c>
      <c r="D8" s="8"/>
      <c r="E8" s="8"/>
      <c r="F8" s="8"/>
      <c r="G8" s="17"/>
      <c r="I8" s="8"/>
      <c r="J8" s="8"/>
      <c r="M8" s="10"/>
      <c r="N8" s="10"/>
    </row>
    <row r="9" spans="1:17" ht="29">
      <c r="B9" s="23"/>
      <c r="C9" s="183" t="s">
        <v>22</v>
      </c>
      <c r="D9" s="24"/>
      <c r="E9" s="25" t="s">
        <v>23</v>
      </c>
      <c r="F9" s="25" t="s">
        <v>24</v>
      </c>
      <c r="G9" s="26"/>
      <c r="H9" s="27" t="s">
        <v>25</v>
      </c>
      <c r="I9" s="27" t="s">
        <v>26</v>
      </c>
      <c r="J9" s="27" t="s">
        <v>27</v>
      </c>
      <c r="K9" s="28" t="s">
        <v>28</v>
      </c>
      <c r="L9" s="27" t="s">
        <v>29</v>
      </c>
      <c r="M9" s="27" t="s">
        <v>30</v>
      </c>
      <c r="N9" s="28" t="s">
        <v>31</v>
      </c>
      <c r="O9" s="27" t="s">
        <v>32</v>
      </c>
      <c r="P9" s="28" t="s">
        <v>33</v>
      </c>
    </row>
    <row r="10" spans="1:17" ht="14.5">
      <c r="A10" s="5" t="s">
        <v>34</v>
      </c>
      <c r="C10" s="184"/>
      <c r="D10" s="29">
        <v>1</v>
      </c>
      <c r="E10" s="5" t="s">
        <v>34</v>
      </c>
      <c r="F10" s="30" t="str">
        <f>IFERROR(VLOOKUP(E10,master!$B:$H,3,FALSE),0)</f>
        <v>VA PDTO IQF T NB 16/20 5X2LB</v>
      </c>
      <c r="G10" s="31"/>
      <c r="H10" s="29" t="str">
        <f>IFERROR(VLOOKUP(E10,master!$B:$H,7,FALSE),0)</f>
        <v>16/20</v>
      </c>
      <c r="I10" s="32" t="s">
        <v>35</v>
      </c>
      <c r="J10" s="33">
        <v>50000</v>
      </c>
      <c r="K10" s="34">
        <v>10.199999999999999</v>
      </c>
      <c r="L10" s="35">
        <f t="shared" ref="L10:L21" si="0">K10*J10/1000</f>
        <v>509.99999999999994</v>
      </c>
      <c r="M10" s="35">
        <f t="shared" ref="M10:M21" ca="1" si="1">$J$4*L10</f>
        <v>41636.144999999997</v>
      </c>
      <c r="N10" s="35">
        <f t="shared" ref="N10:N21" ca="1" si="2">IFERROR(M10/J10*1000,0)</f>
        <v>832.72289999999998</v>
      </c>
      <c r="O10" s="36">
        <v>5</v>
      </c>
      <c r="P10" s="37"/>
    </row>
    <row r="11" spans="1:17" ht="14.5">
      <c r="A11" s="5" t="s">
        <v>36</v>
      </c>
      <c r="C11" s="184"/>
      <c r="D11" s="29">
        <v>2</v>
      </c>
      <c r="E11" s="5" t="s">
        <v>36</v>
      </c>
      <c r="F11" s="30" t="str">
        <f>IFERROR(VLOOKUP(E11,master!$B:$H,3,FALSE),0)</f>
        <v>VA PDTO IQF T NB 21/25 5X2LB</v>
      </c>
      <c r="G11" s="31"/>
      <c r="H11" s="38" t="str">
        <f>IFERROR(VLOOKUP(E11,master!$B:$H,7,FALSE),0)</f>
        <v>21/25</v>
      </c>
      <c r="I11" s="32" t="s">
        <v>35</v>
      </c>
      <c r="J11" s="37">
        <v>40000</v>
      </c>
      <c r="K11" s="37">
        <v>7.7</v>
      </c>
      <c r="L11" s="39">
        <f t="shared" si="0"/>
        <v>308</v>
      </c>
      <c r="M11" s="35">
        <f t="shared" ca="1" si="1"/>
        <v>25144.966</v>
      </c>
      <c r="N11" s="35">
        <f t="shared" ca="1" si="2"/>
        <v>628.6241500000001</v>
      </c>
      <c r="O11" s="36">
        <v>3.5</v>
      </c>
      <c r="P11" s="37"/>
    </row>
    <row r="12" spans="1:17" ht="14.5">
      <c r="A12" s="5" t="s">
        <v>37</v>
      </c>
      <c r="C12" s="184"/>
      <c r="D12" s="29">
        <v>3</v>
      </c>
      <c r="E12" s="5" t="s">
        <v>38</v>
      </c>
      <c r="F12" s="30" t="str">
        <f>IFERROR(VLOOKUP(E12,master!$B:$H,3,FALSE),0)</f>
        <v>VA PDTO IQF T NB 26/30 5X2LB</v>
      </c>
      <c r="G12" s="31"/>
      <c r="H12" s="29" t="str">
        <f>IFERROR(VLOOKUP(E12,master!$B:$H,7,FALSE),0)</f>
        <v>26/30</v>
      </c>
      <c r="I12" s="32" t="s">
        <v>35</v>
      </c>
      <c r="J12" s="40">
        <v>20000</v>
      </c>
      <c r="K12" s="37">
        <v>6.8</v>
      </c>
      <c r="L12" s="39">
        <f t="shared" si="0"/>
        <v>136</v>
      </c>
      <c r="M12" s="35">
        <f t="shared" ca="1" si="1"/>
        <v>11102.972</v>
      </c>
      <c r="N12" s="35">
        <f t="shared" ca="1" si="2"/>
        <v>555.14859999999999</v>
      </c>
      <c r="O12" s="36">
        <v>4</v>
      </c>
      <c r="P12" s="37"/>
    </row>
    <row r="13" spans="1:17" ht="14.5">
      <c r="C13" s="184"/>
      <c r="D13" s="29">
        <v>4</v>
      </c>
      <c r="E13" s="5" t="s">
        <v>39</v>
      </c>
      <c r="F13" s="30" t="str">
        <f>IFERROR(VLOOKUP(E13,master!$B:$H,3,FALSE),0)</f>
        <v>VA PDTL IQF T NB 21/25 5X2LB</v>
      </c>
      <c r="G13" s="31"/>
      <c r="H13" s="29" t="str">
        <f>IFERROR(VLOOKUP(E13,master!$B:$H,7,FALSE),0)</f>
        <v>21/25</v>
      </c>
      <c r="I13" s="32" t="s">
        <v>35</v>
      </c>
      <c r="J13" s="40">
        <v>20000</v>
      </c>
      <c r="K13" s="37">
        <v>7.7</v>
      </c>
      <c r="L13" s="39">
        <f t="shared" si="0"/>
        <v>154</v>
      </c>
      <c r="M13" s="35">
        <f t="shared" ca="1" si="1"/>
        <v>12572.483</v>
      </c>
      <c r="N13" s="35">
        <f t="shared" ca="1" si="2"/>
        <v>628.6241500000001</v>
      </c>
      <c r="O13" s="36">
        <v>3.2</v>
      </c>
      <c r="P13" s="37"/>
    </row>
    <row r="14" spans="1:17" ht="14.5">
      <c r="C14" s="184"/>
      <c r="D14" s="29">
        <v>5</v>
      </c>
      <c r="E14" s="5" t="s">
        <v>37</v>
      </c>
      <c r="F14" s="30" t="str">
        <f>IFERROR(VLOOKUP(E14,master!$B:$H,3,FALSE),0)</f>
        <v>VA PDTL IQF T NB 26/30 5X2LB</v>
      </c>
      <c r="G14" s="31"/>
      <c r="H14" s="29" t="str">
        <f>IFERROR(VLOOKUP(E14,master!$B:$H,7,FALSE),0)</f>
        <v>26/30</v>
      </c>
      <c r="I14" s="32" t="s">
        <v>35</v>
      </c>
      <c r="J14" s="40">
        <v>20000</v>
      </c>
      <c r="K14" s="37">
        <v>6.8</v>
      </c>
      <c r="L14" s="39">
        <f t="shared" si="0"/>
        <v>136</v>
      </c>
      <c r="M14" s="35">
        <f t="shared" ca="1" si="1"/>
        <v>11102.972</v>
      </c>
      <c r="N14" s="35">
        <f t="shared" ca="1" si="2"/>
        <v>555.14859999999999</v>
      </c>
      <c r="O14" s="36">
        <v>3</v>
      </c>
      <c r="P14" s="37"/>
    </row>
    <row r="15" spans="1:17" ht="14.5">
      <c r="C15" s="184"/>
      <c r="D15" s="29">
        <v>6</v>
      </c>
      <c r="E15" s="5" t="s">
        <v>40</v>
      </c>
      <c r="F15" s="30" t="str">
        <f>IFERROR(VLOOKUP(E15,master!$B:$H,3,FALSE),0)</f>
        <v>VA PDTL IQF T NB 31/40 5X2LB</v>
      </c>
      <c r="G15" s="31"/>
      <c r="H15" s="29" t="str">
        <f>IFERROR(VLOOKUP(E15,master!$B:$H,7,FALSE),0)</f>
        <v>31/40</v>
      </c>
      <c r="I15" s="32" t="s">
        <v>35</v>
      </c>
      <c r="J15" s="40">
        <v>130000</v>
      </c>
      <c r="K15" s="37">
        <v>6.2</v>
      </c>
      <c r="L15" s="39">
        <f t="shared" si="0"/>
        <v>806</v>
      </c>
      <c r="M15" s="35">
        <f t="shared" ca="1" si="1"/>
        <v>65801.437000000005</v>
      </c>
      <c r="N15" s="35">
        <f t="shared" ca="1" si="2"/>
        <v>506.16490000000005</v>
      </c>
      <c r="O15" s="36">
        <v>3</v>
      </c>
      <c r="P15" s="37"/>
    </row>
    <row r="16" spans="1:17" ht="14.5">
      <c r="C16" s="184"/>
      <c r="D16" s="29">
        <v>7</v>
      </c>
      <c r="E16" s="5" t="s">
        <v>41</v>
      </c>
      <c r="F16" s="30" t="str">
        <f>IFERROR(VLOOKUP(E16,master!$B:$H,3,FALSE),0)</f>
        <v>VA PDTL IQF T NB 41/50 5X2LB</v>
      </c>
      <c r="G16" s="31"/>
      <c r="H16" s="29" t="str">
        <f>IFERROR(VLOOKUP(E16,master!$B:$H,7,FALSE),0)</f>
        <v>41/50</v>
      </c>
      <c r="I16" s="32" t="s">
        <v>35</v>
      </c>
      <c r="J16" s="40">
        <v>110000</v>
      </c>
      <c r="K16" s="37">
        <v>5.9</v>
      </c>
      <c r="L16" s="39">
        <f t="shared" si="0"/>
        <v>649</v>
      </c>
      <c r="M16" s="35">
        <f t="shared" ca="1" si="1"/>
        <v>52984.035499999998</v>
      </c>
      <c r="N16" s="35">
        <f t="shared" ca="1" si="2"/>
        <v>481.67304999999999</v>
      </c>
      <c r="O16" s="36">
        <v>3</v>
      </c>
      <c r="P16" s="37"/>
    </row>
    <row r="17" spans="3:17" ht="14.5">
      <c r="C17" s="184"/>
      <c r="D17" s="29">
        <v>8</v>
      </c>
      <c r="E17" s="5" t="s">
        <v>42</v>
      </c>
      <c r="F17" s="30" t="str">
        <f>IFERROR(VLOOKUP(E17,master!$B:$H,3,FALSE),0)</f>
        <v>VA PDTL IQF T NB 51/60 5X2LB</v>
      </c>
      <c r="G17" s="31"/>
      <c r="H17" s="29" t="str">
        <f>IFERROR(VLOOKUP(E17,master!$B:$H,7,FALSE),0)</f>
        <v>51/60</v>
      </c>
      <c r="I17" s="32" t="s">
        <v>35</v>
      </c>
      <c r="J17" s="40">
        <v>40000</v>
      </c>
      <c r="K17" s="37">
        <v>5.2</v>
      </c>
      <c r="L17" s="39">
        <f t="shared" si="0"/>
        <v>208</v>
      </c>
      <c r="M17" s="35">
        <f t="shared" ca="1" si="1"/>
        <v>16981.016</v>
      </c>
      <c r="N17" s="35">
        <f t="shared" ca="1" si="2"/>
        <v>424.52539999999999</v>
      </c>
      <c r="O17" s="36"/>
      <c r="P17" s="37"/>
    </row>
    <row r="18" spans="3:17" ht="14.5">
      <c r="C18" s="184"/>
      <c r="D18" s="29">
        <v>9</v>
      </c>
      <c r="E18" s="5" t="s">
        <v>43</v>
      </c>
      <c r="F18" s="30" t="str">
        <f>IFERROR(VLOOKUP(E18,master!$B:$H,3,FALSE),0)</f>
        <v>VA PDTL IQF T NB 61/70 5X2LB</v>
      </c>
      <c r="G18" s="31"/>
      <c r="H18" s="29" t="str">
        <f>IFERROR(VLOOKUP(E18,master!$B:$H,7,FALSE),0)</f>
        <v>61/70</v>
      </c>
      <c r="I18" s="32" t="s">
        <v>35</v>
      </c>
      <c r="J18" s="40">
        <v>20000</v>
      </c>
      <c r="K18" s="37">
        <v>4.7</v>
      </c>
      <c r="L18" s="39">
        <f t="shared" si="0"/>
        <v>94</v>
      </c>
      <c r="M18" s="35">
        <f t="shared" ca="1" si="1"/>
        <v>7674.1129999999994</v>
      </c>
      <c r="N18" s="35">
        <f t="shared" ca="1" si="2"/>
        <v>383.70564999999993</v>
      </c>
      <c r="O18" s="36"/>
      <c r="P18" s="37"/>
    </row>
    <row r="19" spans="3:17" ht="14.5">
      <c r="C19" s="184"/>
      <c r="D19" s="29">
        <v>10</v>
      </c>
      <c r="E19" s="5"/>
      <c r="F19" s="30">
        <f>IFERROR(VLOOKUP(E19,master!$B:$H,3,FALSE),0)</f>
        <v>0</v>
      </c>
      <c r="G19" s="31"/>
      <c r="H19" s="29">
        <f>IFERROR(VLOOKUP(E19,master!$B:$H,7,FALSE),0)</f>
        <v>0</v>
      </c>
      <c r="I19" s="32"/>
      <c r="J19" s="40"/>
      <c r="K19" s="40"/>
      <c r="L19" s="39">
        <f t="shared" si="0"/>
        <v>0</v>
      </c>
      <c r="M19" s="35">
        <f t="shared" ca="1" si="1"/>
        <v>0</v>
      </c>
      <c r="N19" s="35">
        <f t="shared" ca="1" si="2"/>
        <v>0</v>
      </c>
      <c r="O19" s="41"/>
      <c r="P19" s="37"/>
    </row>
    <row r="20" spans="3:17" ht="14.5">
      <c r="C20" s="184"/>
      <c r="D20" s="29">
        <v>11</v>
      </c>
      <c r="F20" s="30">
        <f>IFERROR(VLOOKUP(E20,master!$B:$H,3,FALSE),0)</f>
        <v>0</v>
      </c>
      <c r="G20" s="31"/>
      <c r="H20" s="29">
        <f>IFERROR(VLOOKUP(E20,master!$B:$H,7,FALSE),0)</f>
        <v>0</v>
      </c>
      <c r="I20" s="32"/>
      <c r="J20" s="40"/>
      <c r="K20" s="40"/>
      <c r="L20" s="39">
        <f t="shared" si="0"/>
        <v>0</v>
      </c>
      <c r="M20" s="35">
        <f t="shared" ca="1" si="1"/>
        <v>0</v>
      </c>
      <c r="N20" s="35">
        <f t="shared" ca="1" si="2"/>
        <v>0</v>
      </c>
      <c r="O20" s="41"/>
      <c r="P20" s="37"/>
    </row>
    <row r="21" spans="3:17" ht="15.75" customHeight="1">
      <c r="C21" s="185"/>
      <c r="D21" s="29">
        <v>12</v>
      </c>
      <c r="E21" s="42"/>
      <c r="F21" s="30">
        <f>IFERROR(VLOOKUP(E21,master!$B:$H,3,FALSE),0)</f>
        <v>0</v>
      </c>
      <c r="G21" s="31"/>
      <c r="H21" s="29">
        <f>IFERROR(VLOOKUP(E21,master!$B:$H,7,FALSE),0)</f>
        <v>0</v>
      </c>
      <c r="I21" s="32"/>
      <c r="J21" s="40"/>
      <c r="K21" s="37"/>
      <c r="L21" s="35">
        <f t="shared" si="0"/>
        <v>0</v>
      </c>
      <c r="M21" s="43">
        <f t="shared" ca="1" si="1"/>
        <v>0</v>
      </c>
      <c r="N21" s="43">
        <f t="shared" ca="1" si="2"/>
        <v>0</v>
      </c>
      <c r="O21" s="41"/>
      <c r="P21" s="37"/>
    </row>
    <row r="22" spans="3:17" ht="15.75" customHeight="1">
      <c r="I22" s="44" t="s">
        <v>44</v>
      </c>
      <c r="J22" s="45">
        <f>SUM(J10:J21)</f>
        <v>450000</v>
      </c>
      <c r="K22" s="45">
        <f>L22/J22*1000</f>
        <v>6.6688888888888895</v>
      </c>
      <c r="L22" s="45">
        <f t="shared" ref="L22:M22" si="3">SUM(L10:L21)</f>
        <v>3001</v>
      </c>
      <c r="M22" s="45">
        <f t="shared" ca="1" si="3"/>
        <v>245000.13949999999</v>
      </c>
      <c r="N22" s="45">
        <f ca="1">M22/J22*1000</f>
        <v>544.44475444444436</v>
      </c>
    </row>
    <row r="23" spans="3:17" ht="15.75" customHeight="1">
      <c r="I23" s="46"/>
      <c r="J23" s="47"/>
      <c r="K23" s="48"/>
      <c r="L23" s="47"/>
      <c r="M23" s="47"/>
      <c r="N23" s="49"/>
    </row>
    <row r="24" spans="3:17" ht="21" customHeight="1">
      <c r="C24" s="50" t="s">
        <v>45</v>
      </c>
      <c r="D24" s="51"/>
      <c r="E24" s="52">
        <v>1</v>
      </c>
      <c r="F24" s="52">
        <v>2</v>
      </c>
      <c r="G24" s="52">
        <v>3</v>
      </c>
      <c r="H24" s="52">
        <v>4</v>
      </c>
      <c r="I24" s="52">
        <v>5</v>
      </c>
      <c r="J24" s="52">
        <v>6</v>
      </c>
      <c r="K24" s="52">
        <v>7</v>
      </c>
      <c r="L24" s="52">
        <v>8</v>
      </c>
      <c r="M24" s="52">
        <v>9</v>
      </c>
      <c r="N24" s="52">
        <v>10</v>
      </c>
      <c r="O24" s="52">
        <v>11</v>
      </c>
      <c r="P24" s="52">
        <v>12</v>
      </c>
      <c r="Q24" s="52" t="s">
        <v>44</v>
      </c>
    </row>
    <row r="25" spans="3:17" ht="29.25" customHeight="1">
      <c r="C25" s="53" t="s">
        <v>46</v>
      </c>
      <c r="D25" s="54"/>
      <c r="E25" s="55" t="str">
        <f t="shared" ref="E25:P25" si="4">IFERROR(VLOOKUP(E24,$D$10:$F$21,3,FALSE),"n/a")</f>
        <v>VA PDTO IQF T NB 16/20 5X2LB</v>
      </c>
      <c r="F25" s="55" t="str">
        <f t="shared" si="4"/>
        <v>VA PDTO IQF T NB 21/25 5X2LB</v>
      </c>
      <c r="G25" s="55" t="str">
        <f t="shared" si="4"/>
        <v>VA PDTO IQF T NB 26/30 5X2LB</v>
      </c>
      <c r="H25" s="55" t="str">
        <f t="shared" si="4"/>
        <v>VA PDTL IQF T NB 21/25 5X2LB</v>
      </c>
      <c r="I25" s="55" t="str">
        <f t="shared" si="4"/>
        <v>VA PDTL IQF T NB 26/30 5X2LB</v>
      </c>
      <c r="J25" s="55" t="str">
        <f t="shared" si="4"/>
        <v>VA PDTL IQF T NB 31/40 5X2LB</v>
      </c>
      <c r="K25" s="55" t="str">
        <f t="shared" si="4"/>
        <v>VA PDTL IQF T NB 41/50 5X2LB</v>
      </c>
      <c r="L25" s="55" t="str">
        <f t="shared" si="4"/>
        <v>VA PDTL IQF T NB 51/60 5X2LB</v>
      </c>
      <c r="M25" s="55" t="str">
        <f t="shared" si="4"/>
        <v>VA PDTL IQF T NB 61/70 5X2LB</v>
      </c>
      <c r="N25" s="55">
        <f t="shared" si="4"/>
        <v>0</v>
      </c>
      <c r="O25" s="55">
        <f t="shared" si="4"/>
        <v>0</v>
      </c>
      <c r="P25" s="55">
        <f t="shared" si="4"/>
        <v>0</v>
      </c>
      <c r="Q25" s="56"/>
    </row>
    <row r="26" spans="3:17" ht="15.75" customHeight="1">
      <c r="C26" s="57" t="s">
        <v>47</v>
      </c>
      <c r="D26" s="54"/>
      <c r="E26" s="58" t="str">
        <f t="shared" ref="E26:P26" si="5">VLOOKUP(E24,$D$10:$E$21,2,FALSE)</f>
        <v>0825GC105020L1620P</v>
      </c>
      <c r="F26" s="58" t="str">
        <f t="shared" si="5"/>
        <v>0825GC105020L2125P</v>
      </c>
      <c r="G26" s="58" t="str">
        <f t="shared" si="5"/>
        <v>0825GC105020L2630P</v>
      </c>
      <c r="H26" s="58" t="str">
        <f t="shared" si="5"/>
        <v>0826VC105020L2125P</v>
      </c>
      <c r="I26" s="58" t="str">
        <f t="shared" si="5"/>
        <v>0826VC105020L2630P</v>
      </c>
      <c r="J26" s="58" t="str">
        <f t="shared" si="5"/>
        <v>0826VC105020L3140P</v>
      </c>
      <c r="K26" s="58" t="str">
        <f t="shared" si="5"/>
        <v>0826VC105020L4150P</v>
      </c>
      <c r="L26" s="58" t="str">
        <f t="shared" si="5"/>
        <v>0826VC105020L5160P</v>
      </c>
      <c r="M26" s="58" t="str">
        <f t="shared" si="5"/>
        <v>0826VC105020L6170P</v>
      </c>
      <c r="N26" s="58">
        <f t="shared" si="5"/>
        <v>0</v>
      </c>
      <c r="O26" s="58">
        <f t="shared" si="5"/>
        <v>0</v>
      </c>
      <c r="P26" s="59">
        <f t="shared" si="5"/>
        <v>0</v>
      </c>
      <c r="Q26" s="60"/>
    </row>
    <row r="27" spans="3:17" ht="15.75" customHeight="1">
      <c r="C27" s="57" t="s">
        <v>48</v>
      </c>
      <c r="D27" s="54"/>
      <c r="E27" s="61">
        <f t="shared" ref="E27:P27" si="6">IFERROR(VLOOKUP(E24,$D$10:$J$21,7,FALSE),0)</f>
        <v>50000</v>
      </c>
      <c r="F27" s="61">
        <f t="shared" si="6"/>
        <v>40000</v>
      </c>
      <c r="G27" s="61">
        <f t="shared" si="6"/>
        <v>20000</v>
      </c>
      <c r="H27" s="61">
        <f t="shared" si="6"/>
        <v>20000</v>
      </c>
      <c r="I27" s="61">
        <f t="shared" si="6"/>
        <v>20000</v>
      </c>
      <c r="J27" s="61">
        <f t="shared" si="6"/>
        <v>130000</v>
      </c>
      <c r="K27" s="61">
        <f t="shared" si="6"/>
        <v>110000</v>
      </c>
      <c r="L27" s="61">
        <f t="shared" si="6"/>
        <v>40000</v>
      </c>
      <c r="M27" s="61">
        <f t="shared" si="6"/>
        <v>20000</v>
      </c>
      <c r="N27" s="61">
        <f t="shared" si="6"/>
        <v>0</v>
      </c>
      <c r="O27" s="61">
        <f t="shared" si="6"/>
        <v>0</v>
      </c>
      <c r="P27" s="61">
        <f t="shared" si="6"/>
        <v>0</v>
      </c>
      <c r="Q27" s="62">
        <f>SUM(E27:P27)</f>
        <v>450000</v>
      </c>
    </row>
    <row r="28" spans="3:17" ht="15.5" customHeight="1">
      <c r="C28" s="57" t="s">
        <v>49</v>
      </c>
      <c r="D28" s="54"/>
      <c r="E28" s="63">
        <f>IFERROR(VLOOKUP(E26,master!$B:$H,6,FALSE),0)</f>
        <v>0.63</v>
      </c>
      <c r="F28" s="63">
        <f>IFERROR(VLOOKUP(F26,master!$B:$H,6,FALSE),0)</f>
        <v>0.63</v>
      </c>
      <c r="G28" s="63">
        <f>IFERROR(VLOOKUP(G26,master!$B:$H,6,FALSE),0)</f>
        <v>0.63</v>
      </c>
      <c r="H28" s="63">
        <f>IFERROR(VLOOKUP(H26,master!$B:$H,6,FALSE),0)</f>
        <v>0.63</v>
      </c>
      <c r="I28" s="63">
        <f>IFERROR(VLOOKUP(I26,master!$B:$H,6,FALSE),0)</f>
        <v>0.63</v>
      </c>
      <c r="J28" s="63">
        <f>IFERROR(VLOOKUP(J26,master!$B:$H,6,FALSE),0)</f>
        <v>0.63</v>
      </c>
      <c r="K28" s="63">
        <f>IFERROR(VLOOKUP(K26,master!$B:$H,6,FALSE),0)</f>
        <v>0.63</v>
      </c>
      <c r="L28" s="63">
        <f>IFERROR(VLOOKUP(L26,master!$B:$H,6,FALSE),0)</f>
        <v>0.63</v>
      </c>
      <c r="M28" s="63">
        <f>IFERROR(VLOOKUP(M26,master!$B:$H,6,FALSE),0)</f>
        <v>0.63</v>
      </c>
      <c r="N28" s="63">
        <f>IFERROR(VLOOKUP(N26,master!$B:$H,6,FALSE),0)</f>
        <v>0</v>
      </c>
      <c r="O28" s="63">
        <f>IFERROR(VLOOKUP(O26,master!$B:$H,6,FALSE),0)</f>
        <v>0</v>
      </c>
      <c r="P28" s="63">
        <f>IFERROR(VLOOKUP(P26,master!$B:$H,6,FALSE),0)</f>
        <v>0</v>
      </c>
      <c r="Q28" s="64">
        <f>Q27/Q30</f>
        <v>0.63</v>
      </c>
    </row>
    <row r="29" spans="3:17" ht="15.75" customHeight="1">
      <c r="C29" s="57" t="s">
        <v>50</v>
      </c>
      <c r="D29" s="54"/>
      <c r="E29" s="65">
        <f>IFERROR(VLOOKUP(E26,master!$B:$H,5,FALSE),0)</f>
        <v>27</v>
      </c>
      <c r="F29" s="65">
        <f>IFERROR(VLOOKUP(F26,master!$B:$H,5,FALSE),0)</f>
        <v>34</v>
      </c>
      <c r="G29" s="65">
        <f>IFERROR(VLOOKUP(G26,master!$B:$H,5,FALSE),0)</f>
        <v>41</v>
      </c>
      <c r="H29" s="65">
        <f>IFERROR(VLOOKUP(H26,master!$B:$H,5,FALSE),0)</f>
        <v>33</v>
      </c>
      <c r="I29" s="65">
        <f>IFERROR(VLOOKUP(I26,master!$B:$H,5,FALSE),0)</f>
        <v>40</v>
      </c>
      <c r="J29" s="65">
        <f>IFERROR(VLOOKUP(J26,master!$B:$H,5,FALSE),0)</f>
        <v>47</v>
      </c>
      <c r="K29" s="65">
        <f>IFERROR(VLOOKUP(K26,master!$B:$H,5,FALSE),0)</f>
        <v>64</v>
      </c>
      <c r="L29" s="65">
        <f>IFERROR(VLOOKUP(L26,master!$B:$H,5,FALSE),0)</f>
        <v>78</v>
      </c>
      <c r="M29" s="65">
        <f>IFERROR(VLOOKUP(M26,master!$B:$H,5,FALSE),0)</f>
        <v>85</v>
      </c>
      <c r="N29" s="65">
        <f>IFERROR(VLOOKUP(N26,master!$B:$H,5,FALSE),0)</f>
        <v>0</v>
      </c>
      <c r="O29" s="65">
        <f>IFERROR(VLOOKUP(O26,master!$B:$H,5,FALSE),0)</f>
        <v>0</v>
      </c>
      <c r="P29" s="65">
        <f>IFERROR(VLOOKUP(P26,master!$B:$H,5,FALSE),0)</f>
        <v>0</v>
      </c>
      <c r="Q29" s="66">
        <f>Q31/Q30</f>
        <v>51.022222222222226</v>
      </c>
    </row>
    <row r="30" spans="3:17" ht="15.75" customHeight="1">
      <c r="C30" s="67" t="s">
        <v>51</v>
      </c>
      <c r="D30" s="68"/>
      <c r="E30" s="69">
        <f t="shared" ref="E30:P30" si="7">IFERROR(E27/E28,0)</f>
        <v>79365.079365079364</v>
      </c>
      <c r="F30" s="69">
        <f t="shared" si="7"/>
        <v>63492.063492063491</v>
      </c>
      <c r="G30" s="69">
        <f t="shared" si="7"/>
        <v>31746.031746031746</v>
      </c>
      <c r="H30" s="69">
        <f t="shared" si="7"/>
        <v>31746.031746031746</v>
      </c>
      <c r="I30" s="69">
        <f t="shared" si="7"/>
        <v>31746.031746031746</v>
      </c>
      <c r="J30" s="69">
        <f t="shared" si="7"/>
        <v>206349.20634920636</v>
      </c>
      <c r="K30" s="69">
        <f t="shared" si="7"/>
        <v>174603.17460317462</v>
      </c>
      <c r="L30" s="69">
        <f t="shared" si="7"/>
        <v>63492.063492063491</v>
      </c>
      <c r="M30" s="69">
        <f t="shared" si="7"/>
        <v>31746.031746031746</v>
      </c>
      <c r="N30" s="69">
        <f t="shared" si="7"/>
        <v>0</v>
      </c>
      <c r="O30" s="69">
        <f t="shared" si="7"/>
        <v>0</v>
      </c>
      <c r="P30" s="69">
        <f t="shared" si="7"/>
        <v>0</v>
      </c>
      <c r="Q30" s="70">
        <f t="shared" ref="Q30:Q31" si="8">SUM(E30:P30)</f>
        <v>714285.71428571432</v>
      </c>
    </row>
    <row r="31" spans="3:17" ht="15.75" customHeight="1">
      <c r="C31" s="67" t="s">
        <v>52</v>
      </c>
      <c r="D31" s="68"/>
      <c r="E31" s="69">
        <f t="shared" ref="E31:P31" si="9">IFERROR(E29*E30,0)</f>
        <v>2142857.1428571427</v>
      </c>
      <c r="F31" s="69">
        <f t="shared" si="9"/>
        <v>2158730.1587301586</v>
      </c>
      <c r="G31" s="69">
        <f t="shared" si="9"/>
        <v>1301587.3015873015</v>
      </c>
      <c r="H31" s="69">
        <f t="shared" si="9"/>
        <v>1047619.0476190476</v>
      </c>
      <c r="I31" s="69">
        <f t="shared" si="9"/>
        <v>1269841.2698412698</v>
      </c>
      <c r="J31" s="69">
        <f t="shared" si="9"/>
        <v>9698412.6984126996</v>
      </c>
      <c r="K31" s="69">
        <f t="shared" si="9"/>
        <v>11174603.174603175</v>
      </c>
      <c r="L31" s="69">
        <f t="shared" si="9"/>
        <v>4952380.9523809524</v>
      </c>
      <c r="M31" s="69">
        <f t="shared" si="9"/>
        <v>2698412.6984126982</v>
      </c>
      <c r="N31" s="69">
        <f t="shared" si="9"/>
        <v>0</v>
      </c>
      <c r="O31" s="69">
        <f t="shared" si="9"/>
        <v>0</v>
      </c>
      <c r="P31" s="69">
        <f t="shared" si="9"/>
        <v>0</v>
      </c>
      <c r="Q31" s="70">
        <f t="shared" si="8"/>
        <v>36444444.444444448</v>
      </c>
    </row>
    <row r="32" spans="3:17" ht="19.5" customHeight="1">
      <c r="C32" s="57" t="s">
        <v>53</v>
      </c>
      <c r="D32" s="71">
        <f>IF(M3=0,M2,M3)</f>
        <v>44509</v>
      </c>
      <c r="E32" s="72">
        <f>490*0.95</f>
        <v>465.5</v>
      </c>
      <c r="F32" s="72">
        <f>340*0.95</f>
        <v>323</v>
      </c>
      <c r="G32" s="72">
        <f>290*0.95</f>
        <v>275.5</v>
      </c>
      <c r="H32" s="72">
        <f>344*0.95</f>
        <v>326.8</v>
      </c>
      <c r="I32" s="72">
        <f>294*0.95</f>
        <v>279.3</v>
      </c>
      <c r="J32" s="72">
        <f>264*0.95</f>
        <v>250.79999999999998</v>
      </c>
      <c r="K32" s="72">
        <f>244*0.95</f>
        <v>231.79999999999998</v>
      </c>
      <c r="L32" s="72">
        <f>214*0.95</f>
        <v>203.29999999999998</v>
      </c>
      <c r="M32" s="72">
        <f>190*0.95</f>
        <v>180.5</v>
      </c>
      <c r="N32" s="72"/>
      <c r="O32" s="72"/>
      <c r="P32" s="72"/>
      <c r="Q32" s="66">
        <f>SUMPRODUCT(E30:P30,E32:P32)/Q30</f>
        <v>274.8244444444444</v>
      </c>
    </row>
    <row r="33" spans="1:26" ht="15.75" customHeight="1">
      <c r="B33" s="23"/>
      <c r="C33" s="57" t="s">
        <v>54</v>
      </c>
      <c r="D33" s="54"/>
      <c r="E33" s="73">
        <f t="shared" ref="E33:P33" ca="1" si="10">IFERROR(VLOOKUP(E24,$D$10:$N$21,11,FALSE),"n/a")</f>
        <v>832.72289999999998</v>
      </c>
      <c r="F33" s="73">
        <f t="shared" ca="1" si="10"/>
        <v>628.6241500000001</v>
      </c>
      <c r="G33" s="73">
        <f t="shared" ca="1" si="10"/>
        <v>555.14859999999999</v>
      </c>
      <c r="H33" s="73">
        <f t="shared" ca="1" si="10"/>
        <v>628.6241500000001</v>
      </c>
      <c r="I33" s="73">
        <f t="shared" ca="1" si="10"/>
        <v>555.14859999999999</v>
      </c>
      <c r="J33" s="73">
        <f t="shared" ca="1" si="10"/>
        <v>506.16490000000005</v>
      </c>
      <c r="K33" s="73">
        <f t="shared" ca="1" si="10"/>
        <v>481.67304999999999</v>
      </c>
      <c r="L33" s="73">
        <f t="shared" ca="1" si="10"/>
        <v>424.52539999999999</v>
      </c>
      <c r="M33" s="73">
        <f t="shared" ca="1" si="10"/>
        <v>383.70564999999993</v>
      </c>
      <c r="N33" s="73">
        <f t="shared" ca="1" si="10"/>
        <v>0</v>
      </c>
      <c r="O33" s="73">
        <f t="shared" ca="1" si="10"/>
        <v>0</v>
      </c>
      <c r="P33" s="73">
        <f t="shared" ca="1" si="10"/>
        <v>0</v>
      </c>
      <c r="Q33" s="74">
        <f ca="1">M22/J22*1000</f>
        <v>544.44475444444436</v>
      </c>
    </row>
    <row r="34" spans="1:26" ht="15.75" customHeight="1">
      <c r="B34" s="23"/>
      <c r="C34" s="75"/>
      <c r="D34" s="76"/>
      <c r="E34" s="77" t="s">
        <v>55</v>
      </c>
      <c r="F34" s="78" t="s">
        <v>55</v>
      </c>
      <c r="G34" s="77" t="s">
        <v>55</v>
      </c>
      <c r="H34" s="77" t="s">
        <v>55</v>
      </c>
      <c r="I34" s="77" t="s">
        <v>55</v>
      </c>
      <c r="J34" s="77" t="s">
        <v>55</v>
      </c>
      <c r="K34" s="77" t="s">
        <v>55</v>
      </c>
      <c r="L34" s="78" t="s">
        <v>55</v>
      </c>
      <c r="M34" s="77" t="s">
        <v>55</v>
      </c>
      <c r="N34" s="78" t="s">
        <v>55</v>
      </c>
      <c r="O34" s="77" t="s">
        <v>55</v>
      </c>
      <c r="P34" s="77" t="s">
        <v>55</v>
      </c>
      <c r="Q34" s="79"/>
    </row>
    <row r="35" spans="1:26" ht="15.75" customHeight="1">
      <c r="B35" s="23"/>
      <c r="C35" s="80" t="s">
        <v>56</v>
      </c>
      <c r="D35" s="81"/>
      <c r="E35" s="82"/>
      <c r="F35" s="83"/>
      <c r="G35" s="82"/>
      <c r="H35" s="82"/>
      <c r="I35" s="82"/>
      <c r="J35" s="82"/>
      <c r="K35" s="82"/>
      <c r="L35" s="83"/>
      <c r="M35" s="82"/>
      <c r="N35" s="83"/>
      <c r="O35" s="82"/>
      <c r="P35" s="82"/>
      <c r="Q35" s="84"/>
    </row>
    <row r="36" spans="1:26" ht="15.75" customHeight="1">
      <c r="C36" s="85" t="s">
        <v>57</v>
      </c>
      <c r="D36" s="81"/>
      <c r="E36" s="86">
        <f t="shared" ref="E36:P36" si="11">IFERROR(VLOOKUP(E24,$D$10:$P$21,12,FALSE),"n/a")</f>
        <v>5</v>
      </c>
      <c r="F36" s="87">
        <f t="shared" si="11"/>
        <v>3.5</v>
      </c>
      <c r="G36" s="86">
        <f t="shared" si="11"/>
        <v>4</v>
      </c>
      <c r="H36" s="86">
        <f t="shared" si="11"/>
        <v>3.2</v>
      </c>
      <c r="I36" s="86">
        <f t="shared" si="11"/>
        <v>3</v>
      </c>
      <c r="J36" s="86">
        <f t="shared" si="11"/>
        <v>3</v>
      </c>
      <c r="K36" s="86">
        <f t="shared" si="11"/>
        <v>3</v>
      </c>
      <c r="L36" s="87">
        <f t="shared" si="11"/>
        <v>0</v>
      </c>
      <c r="M36" s="86">
        <f t="shared" si="11"/>
        <v>0</v>
      </c>
      <c r="N36" s="87">
        <f t="shared" si="11"/>
        <v>0</v>
      </c>
      <c r="O36" s="86">
        <f t="shared" si="11"/>
        <v>0</v>
      </c>
      <c r="P36" s="86">
        <f t="shared" si="11"/>
        <v>0</v>
      </c>
      <c r="Q36" s="84"/>
    </row>
    <row r="37" spans="1:26" ht="15.75" customHeight="1">
      <c r="C37" s="85" t="s">
        <v>58</v>
      </c>
      <c r="D37" s="19"/>
      <c r="E37" s="86">
        <f t="shared" ref="E37:P37" si="12">IF(E28&gt;0,(E32+2)/E28,0)</f>
        <v>742.06349206349205</v>
      </c>
      <c r="F37" s="87">
        <f t="shared" si="12"/>
        <v>515.8730158730159</v>
      </c>
      <c r="G37" s="86">
        <f t="shared" si="12"/>
        <v>440.47619047619048</v>
      </c>
      <c r="H37" s="86">
        <f t="shared" si="12"/>
        <v>521.90476190476193</v>
      </c>
      <c r="I37" s="86">
        <f t="shared" si="12"/>
        <v>446.50793650793651</v>
      </c>
      <c r="J37" s="86">
        <f t="shared" si="12"/>
        <v>401.26984126984127</v>
      </c>
      <c r="K37" s="86">
        <f t="shared" si="12"/>
        <v>371.11111111111109</v>
      </c>
      <c r="L37" s="87">
        <f t="shared" si="12"/>
        <v>325.87301587301585</v>
      </c>
      <c r="M37" s="86">
        <f t="shared" si="12"/>
        <v>289.6825396825397</v>
      </c>
      <c r="N37" s="87">
        <f t="shared" si="12"/>
        <v>0</v>
      </c>
      <c r="O37" s="86">
        <f t="shared" si="12"/>
        <v>0</v>
      </c>
      <c r="P37" s="86">
        <f t="shared" si="12"/>
        <v>0</v>
      </c>
      <c r="Q37" s="88">
        <f>SUMPRODUCT(E27:P27,E37:P37)/Q27</f>
        <v>439.40388007054673</v>
      </c>
    </row>
    <row r="38" spans="1:26" ht="15.75" customHeight="1">
      <c r="C38" s="85" t="s">
        <v>59</v>
      </c>
      <c r="D38" s="19"/>
      <c r="E38" s="89">
        <v>8</v>
      </c>
      <c r="F38" s="89">
        <v>8</v>
      </c>
      <c r="G38" s="89">
        <v>8</v>
      </c>
      <c r="H38" s="89">
        <v>8</v>
      </c>
      <c r="I38" s="89">
        <v>8</v>
      </c>
      <c r="J38" s="89">
        <v>8</v>
      </c>
      <c r="K38" s="89">
        <v>8</v>
      </c>
      <c r="L38" s="89"/>
      <c r="M38" s="89"/>
      <c r="N38" s="89"/>
      <c r="O38" s="89"/>
      <c r="P38" s="90"/>
      <c r="Q38" s="91">
        <f>SUMPRODUCT(E27:P27,E38:P38)/Q27</f>
        <v>6.9333333333333336</v>
      </c>
    </row>
    <row r="39" spans="1:26" ht="15.75" customHeight="1">
      <c r="C39" s="85" t="s">
        <v>60</v>
      </c>
      <c r="D39" s="19"/>
      <c r="E39" s="89">
        <v>6.5</v>
      </c>
      <c r="F39" s="89">
        <v>6.5</v>
      </c>
      <c r="G39" s="89">
        <v>6.5</v>
      </c>
      <c r="H39" s="89">
        <v>6.5</v>
      </c>
      <c r="I39" s="89">
        <v>6.5</v>
      </c>
      <c r="J39" s="89">
        <v>6.5</v>
      </c>
      <c r="K39" s="89">
        <v>6.5</v>
      </c>
      <c r="L39" s="89"/>
      <c r="M39" s="89"/>
      <c r="N39" s="89"/>
      <c r="O39" s="89"/>
      <c r="P39" s="90"/>
      <c r="Q39" s="91">
        <f>SUMPRODUCT(E27:P27,E39:P39)/Q27</f>
        <v>5.6333333333333337</v>
      </c>
    </row>
    <row r="40" spans="1:26" ht="15.75" customHeight="1">
      <c r="C40" s="85" t="s">
        <v>61</v>
      </c>
      <c r="D40" s="19"/>
      <c r="E40" s="86">
        <f t="shared" ref="E40:P40" si="13">IF(E27=0,0,1/E28*9.9)</f>
        <v>15.714285714285714</v>
      </c>
      <c r="F40" s="87">
        <f t="shared" si="13"/>
        <v>15.714285714285714</v>
      </c>
      <c r="G40" s="86">
        <f t="shared" si="13"/>
        <v>15.714285714285714</v>
      </c>
      <c r="H40" s="86">
        <f t="shared" si="13"/>
        <v>15.714285714285714</v>
      </c>
      <c r="I40" s="86">
        <f t="shared" si="13"/>
        <v>15.714285714285714</v>
      </c>
      <c r="J40" s="86">
        <f t="shared" si="13"/>
        <v>15.714285714285714</v>
      </c>
      <c r="K40" s="86">
        <f t="shared" si="13"/>
        <v>15.714285714285714</v>
      </c>
      <c r="L40" s="87">
        <f t="shared" si="13"/>
        <v>15.714285714285714</v>
      </c>
      <c r="M40" s="86">
        <f t="shared" si="13"/>
        <v>15.714285714285714</v>
      </c>
      <c r="N40" s="87">
        <f t="shared" si="13"/>
        <v>0</v>
      </c>
      <c r="O40" s="86">
        <f t="shared" si="13"/>
        <v>0</v>
      </c>
      <c r="P40" s="86">
        <f t="shared" si="13"/>
        <v>0</v>
      </c>
      <c r="Q40" s="91">
        <f>SUMPRODUCT(E27:P27,E40:P40)/Q27</f>
        <v>15.714285714285714</v>
      </c>
    </row>
    <row r="41" spans="1:26" ht="15.75" customHeight="1">
      <c r="C41" s="92" t="s">
        <v>62</v>
      </c>
      <c r="D41" s="93"/>
      <c r="E41" s="94"/>
      <c r="F41" s="95"/>
      <c r="G41" s="94"/>
      <c r="H41" s="94"/>
      <c r="I41" s="94"/>
      <c r="J41" s="94"/>
      <c r="K41" s="94"/>
      <c r="L41" s="95"/>
      <c r="M41" s="94"/>
      <c r="N41" s="95"/>
      <c r="O41" s="94"/>
      <c r="P41" s="94"/>
      <c r="Q41" s="91">
        <f>SUMPRODUCT(E27:P27,E41:P41)/Q27</f>
        <v>0</v>
      </c>
    </row>
    <row r="42" spans="1:26" ht="15.75" customHeight="1">
      <c r="C42" s="85" t="s">
        <v>63</v>
      </c>
      <c r="D42" s="19"/>
      <c r="E42" s="96"/>
      <c r="F42" s="97">
        <f t="shared" ref="F42:P42" si="14">IF(F$27&gt;0,$E42,0)</f>
        <v>0</v>
      </c>
      <c r="G42" s="98">
        <f t="shared" si="14"/>
        <v>0</v>
      </c>
      <c r="H42" s="98">
        <f t="shared" si="14"/>
        <v>0</v>
      </c>
      <c r="I42" s="98">
        <f t="shared" si="14"/>
        <v>0</v>
      </c>
      <c r="J42" s="98">
        <f t="shared" si="14"/>
        <v>0</v>
      </c>
      <c r="K42" s="98">
        <f t="shared" si="14"/>
        <v>0</v>
      </c>
      <c r="L42" s="97">
        <f t="shared" si="14"/>
        <v>0</v>
      </c>
      <c r="M42" s="98">
        <f t="shared" si="14"/>
        <v>0</v>
      </c>
      <c r="N42" s="97">
        <f t="shared" si="14"/>
        <v>0</v>
      </c>
      <c r="O42" s="98">
        <f t="shared" si="14"/>
        <v>0</v>
      </c>
      <c r="P42" s="98">
        <f t="shared" si="14"/>
        <v>0</v>
      </c>
      <c r="Q42" s="91">
        <f>SUMPRODUCT(E27:P27,E42:P42)/Q27</f>
        <v>0</v>
      </c>
    </row>
    <row r="43" spans="1:26" ht="15.75" customHeight="1">
      <c r="C43" s="85" t="s">
        <v>64</v>
      </c>
      <c r="D43" s="19"/>
      <c r="E43" s="89">
        <v>25</v>
      </c>
      <c r="F43" s="97">
        <f t="shared" ref="F43:P43" si="15">IF(F$27&gt;0,$E43,0)</f>
        <v>25</v>
      </c>
      <c r="G43" s="98">
        <f t="shared" si="15"/>
        <v>25</v>
      </c>
      <c r="H43" s="98">
        <f t="shared" si="15"/>
        <v>25</v>
      </c>
      <c r="I43" s="98">
        <f t="shared" si="15"/>
        <v>25</v>
      </c>
      <c r="J43" s="98">
        <f t="shared" si="15"/>
        <v>25</v>
      </c>
      <c r="K43" s="98">
        <f t="shared" si="15"/>
        <v>25</v>
      </c>
      <c r="L43" s="97">
        <f t="shared" si="15"/>
        <v>25</v>
      </c>
      <c r="M43" s="98">
        <f t="shared" si="15"/>
        <v>25</v>
      </c>
      <c r="N43" s="97">
        <f t="shared" si="15"/>
        <v>0</v>
      </c>
      <c r="O43" s="98">
        <f t="shared" si="15"/>
        <v>0</v>
      </c>
      <c r="P43" s="98">
        <f t="shared" si="15"/>
        <v>0</v>
      </c>
      <c r="Q43" s="91">
        <f>SUMPRODUCT(E27:P27,E43:P43)/Q27</f>
        <v>25</v>
      </c>
    </row>
    <row r="44" spans="1:26" ht="15.75" customHeight="1">
      <c r="C44" s="85" t="s">
        <v>65</v>
      </c>
      <c r="D44" s="19"/>
      <c r="E44" s="89">
        <v>0</v>
      </c>
      <c r="F44" s="97">
        <f t="shared" ref="F44:P44" si="16">IF(F$27&gt;0,$E44,0)</f>
        <v>0</v>
      </c>
      <c r="G44" s="86">
        <f t="shared" si="16"/>
        <v>0</v>
      </c>
      <c r="H44" s="86">
        <f t="shared" si="16"/>
        <v>0</v>
      </c>
      <c r="I44" s="86">
        <f t="shared" si="16"/>
        <v>0</v>
      </c>
      <c r="J44" s="86">
        <f t="shared" si="16"/>
        <v>0</v>
      </c>
      <c r="K44" s="86">
        <f t="shared" si="16"/>
        <v>0</v>
      </c>
      <c r="L44" s="87">
        <f t="shared" si="16"/>
        <v>0</v>
      </c>
      <c r="M44" s="98">
        <f t="shared" si="16"/>
        <v>0</v>
      </c>
      <c r="N44" s="97">
        <f t="shared" si="16"/>
        <v>0</v>
      </c>
      <c r="O44" s="97">
        <f t="shared" si="16"/>
        <v>0</v>
      </c>
      <c r="P44" s="97">
        <f t="shared" si="16"/>
        <v>0</v>
      </c>
      <c r="Q44" s="91">
        <f>SUMPRODUCT(E27:P27,E44:P44)/Q27</f>
        <v>0</v>
      </c>
    </row>
    <row r="45" spans="1:26" ht="15.75" customHeight="1">
      <c r="C45" s="85" t="s">
        <v>66</v>
      </c>
      <c r="D45" s="99">
        <v>0.03</v>
      </c>
      <c r="E45" s="86">
        <f t="shared" ref="E45:P45" ca="1" si="17">-E33*98%*$D45</f>
        <v>-24.482053260000001</v>
      </c>
      <c r="F45" s="86">
        <f t="shared" ca="1" si="17"/>
        <v>-18.481550010000003</v>
      </c>
      <c r="G45" s="86">
        <f t="shared" ca="1" si="17"/>
        <v>-16.321368839999998</v>
      </c>
      <c r="H45" s="86">
        <f t="shared" ca="1" si="17"/>
        <v>-18.481550010000003</v>
      </c>
      <c r="I45" s="86">
        <f t="shared" ca="1" si="17"/>
        <v>-16.321368839999998</v>
      </c>
      <c r="J45" s="86">
        <f t="shared" ca="1" si="17"/>
        <v>-14.881248059999999</v>
      </c>
      <c r="K45" s="86">
        <f t="shared" ca="1" si="17"/>
        <v>-14.161187669999999</v>
      </c>
      <c r="L45" s="86">
        <f t="shared" ca="1" si="17"/>
        <v>-12.481046759999998</v>
      </c>
      <c r="M45" s="86">
        <f t="shared" ca="1" si="17"/>
        <v>-11.280946109999999</v>
      </c>
      <c r="N45" s="86">
        <f t="shared" ca="1" si="17"/>
        <v>0</v>
      </c>
      <c r="O45" s="86">
        <f t="shared" ca="1" si="17"/>
        <v>0</v>
      </c>
      <c r="P45" s="86">
        <f t="shared" ca="1" si="17"/>
        <v>0</v>
      </c>
      <c r="Q45" s="88">
        <f ca="1">SUMPRODUCT(E27:P27,E45:P45)/Q27</f>
        <v>-16.006675780666665</v>
      </c>
      <c r="R45" s="5" t="s">
        <v>67</v>
      </c>
    </row>
    <row r="46" spans="1:26" ht="15.75" customHeight="1">
      <c r="C46" s="85" t="s">
        <v>68</v>
      </c>
      <c r="D46" s="100">
        <v>2.5000000000000001E-2</v>
      </c>
      <c r="E46" s="86">
        <f t="shared" ref="E46:P46" ca="1" si="18">-E33*98%*$D46</f>
        <v>-20.401711050000003</v>
      </c>
      <c r="F46" s="86">
        <f t="shared" ca="1" si="18"/>
        <v>-15.401291675000003</v>
      </c>
      <c r="G46" s="86">
        <f t="shared" ca="1" si="18"/>
        <v>-13.6011407</v>
      </c>
      <c r="H46" s="86">
        <f t="shared" ca="1" si="18"/>
        <v>-15.401291675000003</v>
      </c>
      <c r="I46" s="86">
        <f t="shared" ca="1" si="18"/>
        <v>-13.6011407</v>
      </c>
      <c r="J46" s="86">
        <f t="shared" ca="1" si="18"/>
        <v>-12.401040050000001</v>
      </c>
      <c r="K46" s="86">
        <f t="shared" ca="1" si="18"/>
        <v>-11.800989725000001</v>
      </c>
      <c r="L46" s="86">
        <f t="shared" ca="1" si="18"/>
        <v>-10.4008723</v>
      </c>
      <c r="M46" s="86">
        <f t="shared" ca="1" si="18"/>
        <v>-9.400788425</v>
      </c>
      <c r="N46" s="86">
        <f t="shared" ca="1" si="18"/>
        <v>0</v>
      </c>
      <c r="O46" s="86">
        <f t="shared" ca="1" si="18"/>
        <v>0</v>
      </c>
      <c r="P46" s="86">
        <f t="shared" ca="1" si="18"/>
        <v>0</v>
      </c>
      <c r="Q46" s="88">
        <f ca="1">SUMPRODUCT(E27:P27,E46:P46)/Q27</f>
        <v>-13.338896483888888</v>
      </c>
      <c r="R46" s="5" t="s">
        <v>67</v>
      </c>
    </row>
    <row r="47" spans="1:26" ht="15.75" customHeight="1">
      <c r="C47" s="101" t="s">
        <v>69</v>
      </c>
      <c r="D47" s="54"/>
      <c r="E47" s="102">
        <f t="shared" ref="E47:Q47" ca="1" si="19">SUM(E37:E46)</f>
        <v>752.39401346777765</v>
      </c>
      <c r="F47" s="102">
        <f t="shared" ca="1" si="19"/>
        <v>537.20445990230155</v>
      </c>
      <c r="G47" s="102">
        <f t="shared" ca="1" si="19"/>
        <v>465.76796665047624</v>
      </c>
      <c r="H47" s="102">
        <f t="shared" ca="1" si="19"/>
        <v>543.23620593404758</v>
      </c>
      <c r="I47" s="102">
        <f t="shared" ca="1" si="19"/>
        <v>471.79971268222226</v>
      </c>
      <c r="J47" s="102">
        <f t="shared" ca="1" si="19"/>
        <v>429.20183887412696</v>
      </c>
      <c r="K47" s="102">
        <f t="shared" ca="1" si="19"/>
        <v>400.36321943039678</v>
      </c>
      <c r="L47" s="43">
        <f t="shared" ca="1" si="19"/>
        <v>343.70538252730154</v>
      </c>
      <c r="M47" s="102">
        <f t="shared" ca="1" si="19"/>
        <v>309.71509086182544</v>
      </c>
      <c r="N47" s="102">
        <f t="shared" ca="1" si="19"/>
        <v>0</v>
      </c>
      <c r="O47" s="102">
        <f t="shared" ca="1" si="19"/>
        <v>0</v>
      </c>
      <c r="P47" s="102">
        <f t="shared" ca="1" si="19"/>
        <v>0</v>
      </c>
      <c r="Q47" s="103">
        <f t="shared" ca="1" si="19"/>
        <v>463.33926018694353</v>
      </c>
    </row>
    <row r="48" spans="1:26" ht="19.5" customHeight="1">
      <c r="A48" s="104"/>
      <c r="B48" s="105"/>
      <c r="C48" s="106" t="s">
        <v>70</v>
      </c>
      <c r="D48" s="107" t="s">
        <v>71</v>
      </c>
      <c r="E48" s="108">
        <f t="shared" ref="E48:Q48" ca="1" si="20">E33-E47</f>
        <v>80.328886532222327</v>
      </c>
      <c r="F48" s="108">
        <f t="shared" ca="1" si="20"/>
        <v>91.419690097698549</v>
      </c>
      <c r="G48" s="108">
        <f t="shared" ca="1" si="20"/>
        <v>89.380633349523748</v>
      </c>
      <c r="H48" s="108">
        <f t="shared" ca="1" si="20"/>
        <v>85.387944065952524</v>
      </c>
      <c r="I48" s="108">
        <f t="shared" ca="1" si="20"/>
        <v>83.348887317777724</v>
      </c>
      <c r="J48" s="108">
        <f t="shared" ca="1" si="20"/>
        <v>76.963061125873082</v>
      </c>
      <c r="K48" s="108">
        <f t="shared" ca="1" si="20"/>
        <v>81.309830569603207</v>
      </c>
      <c r="L48" s="108">
        <f t="shared" ca="1" si="20"/>
        <v>80.820017472698453</v>
      </c>
      <c r="M48" s="108">
        <f t="shared" ca="1" si="20"/>
        <v>73.99055913817449</v>
      </c>
      <c r="N48" s="108">
        <f t="shared" ca="1" si="20"/>
        <v>0</v>
      </c>
      <c r="O48" s="108">
        <f t="shared" ca="1" si="20"/>
        <v>0</v>
      </c>
      <c r="P48" s="108">
        <f t="shared" ca="1" si="20"/>
        <v>0</v>
      </c>
      <c r="Q48" s="109">
        <f t="shared" ca="1" si="20"/>
        <v>81.105494257500823</v>
      </c>
      <c r="R48" s="104"/>
      <c r="S48" s="104"/>
      <c r="T48" s="104"/>
      <c r="U48" s="104"/>
      <c r="V48" s="104"/>
      <c r="W48" s="104"/>
      <c r="X48" s="104"/>
      <c r="Y48" s="104"/>
      <c r="Z48" s="104"/>
    </row>
    <row r="49" spans="1:26" ht="19.5" customHeight="1">
      <c r="A49" s="104"/>
      <c r="B49" s="105"/>
      <c r="C49" s="106" t="s">
        <v>72</v>
      </c>
      <c r="D49" s="107"/>
      <c r="E49" s="110">
        <f t="shared" ref="E49:P49" ca="1" si="21">E48*E27/1000</f>
        <v>4016.4443266111166</v>
      </c>
      <c r="F49" s="110">
        <f t="shared" ca="1" si="21"/>
        <v>3656.787603907942</v>
      </c>
      <c r="G49" s="110">
        <f t="shared" ca="1" si="21"/>
        <v>1787.612666990475</v>
      </c>
      <c r="H49" s="110">
        <f t="shared" ca="1" si="21"/>
        <v>1707.7588813190505</v>
      </c>
      <c r="I49" s="110">
        <f t="shared" ca="1" si="21"/>
        <v>1666.9777463555545</v>
      </c>
      <c r="J49" s="110">
        <f t="shared" ca="1" si="21"/>
        <v>10005.197946363502</v>
      </c>
      <c r="K49" s="110">
        <f t="shared" ca="1" si="21"/>
        <v>8944.0813626563522</v>
      </c>
      <c r="L49" s="110">
        <f t="shared" ca="1" si="21"/>
        <v>3232.8006989079381</v>
      </c>
      <c r="M49" s="110">
        <f t="shared" ca="1" si="21"/>
        <v>1479.8111827634898</v>
      </c>
      <c r="N49" s="110">
        <f t="shared" ca="1" si="21"/>
        <v>0</v>
      </c>
      <c r="O49" s="110">
        <f t="shared" ca="1" si="21"/>
        <v>0</v>
      </c>
      <c r="P49" s="110">
        <f t="shared" ca="1" si="21"/>
        <v>0</v>
      </c>
      <c r="Q49" s="111">
        <f ca="1">SUM(E49:P49)</f>
        <v>36497.472415875425</v>
      </c>
      <c r="R49" s="104"/>
      <c r="S49" s="104"/>
      <c r="T49" s="104"/>
      <c r="U49" s="104"/>
      <c r="V49" s="104"/>
      <c r="W49" s="104"/>
      <c r="X49" s="104"/>
      <c r="Y49" s="104"/>
      <c r="Z49" s="104"/>
    </row>
    <row r="50" spans="1:26" ht="19.5" customHeight="1">
      <c r="A50" s="104"/>
      <c r="B50" s="104"/>
      <c r="C50" s="112"/>
      <c r="D50" s="113"/>
      <c r="E50" s="114">
        <f t="shared" ref="E50:Q50" ca="1" si="22">IFERROR(E48/E33,0)</f>
        <v>9.6465326619722278E-2</v>
      </c>
      <c r="F50" s="114">
        <f t="shared" ca="1" si="22"/>
        <v>0.14542821827271277</v>
      </c>
      <c r="G50" s="114">
        <f t="shared" ca="1" si="22"/>
        <v>0.16100307800384211</v>
      </c>
      <c r="H50" s="114">
        <f t="shared" ca="1" si="22"/>
        <v>0.13583306347036223</v>
      </c>
      <c r="I50" s="114">
        <f t="shared" ca="1" si="22"/>
        <v>0.15013797624235695</v>
      </c>
      <c r="J50" s="114">
        <f t="shared" ca="1" si="22"/>
        <v>0.15205135940060852</v>
      </c>
      <c r="K50" s="114">
        <f t="shared" ca="1" si="22"/>
        <v>0.16880709969055402</v>
      </c>
      <c r="L50" s="114">
        <f t="shared" ca="1" si="22"/>
        <v>0.19037734249281305</v>
      </c>
      <c r="M50" s="114">
        <f t="shared" ca="1" si="22"/>
        <v>0.19283156017685563</v>
      </c>
      <c r="N50" s="114">
        <f t="shared" ca="1" si="22"/>
        <v>0</v>
      </c>
      <c r="O50" s="114">
        <f t="shared" ca="1" si="22"/>
        <v>0</v>
      </c>
      <c r="P50" s="114">
        <f t="shared" ca="1" si="22"/>
        <v>0</v>
      </c>
      <c r="Q50" s="115">
        <f t="shared" ca="1" si="22"/>
        <v>0.14896919034560541</v>
      </c>
      <c r="R50" s="104"/>
      <c r="S50" s="104"/>
      <c r="T50" s="104"/>
      <c r="U50" s="104"/>
      <c r="V50" s="104"/>
      <c r="W50" s="104"/>
      <c r="X50" s="104"/>
      <c r="Y50" s="104"/>
      <c r="Z50" s="104"/>
    </row>
    <row r="51" spans="1:26" ht="24" customHeight="1">
      <c r="C51" s="116" t="s">
        <v>73</v>
      </c>
      <c r="D51" s="117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9"/>
    </row>
    <row r="52" spans="1:26" ht="15.75" customHeight="1">
      <c r="C52" s="85" t="s">
        <v>62</v>
      </c>
      <c r="D52" s="81"/>
      <c r="E52" s="89">
        <v>70</v>
      </c>
      <c r="F52" s="89">
        <v>70</v>
      </c>
      <c r="G52" s="89">
        <v>70</v>
      </c>
      <c r="H52" s="89">
        <v>70</v>
      </c>
      <c r="I52" s="89">
        <v>70</v>
      </c>
      <c r="J52" s="89">
        <v>70</v>
      </c>
      <c r="K52" s="89">
        <v>70</v>
      </c>
      <c r="L52" s="89">
        <v>70</v>
      </c>
      <c r="M52" s="89">
        <v>70</v>
      </c>
      <c r="N52" s="89">
        <v>80</v>
      </c>
      <c r="O52" s="89">
        <v>80</v>
      </c>
      <c r="P52" s="89">
        <v>80</v>
      </c>
      <c r="Q52" s="89">
        <v>80</v>
      </c>
    </row>
    <row r="53" spans="1:26" ht="15.75" customHeight="1">
      <c r="C53" s="85" t="s">
        <v>74</v>
      </c>
      <c r="D53" s="19"/>
      <c r="E53" s="98">
        <v>4.9632111111111099</v>
      </c>
      <c r="F53" s="98">
        <f t="shared" ref="F53:P53" si="23">IF(F$27&gt;0,$E$53,0)</f>
        <v>4.9632111111111099</v>
      </c>
      <c r="G53" s="98">
        <f t="shared" si="23"/>
        <v>4.9632111111111099</v>
      </c>
      <c r="H53" s="98">
        <f t="shared" si="23"/>
        <v>4.9632111111111099</v>
      </c>
      <c r="I53" s="98">
        <f t="shared" si="23"/>
        <v>4.9632111111111099</v>
      </c>
      <c r="J53" s="98">
        <f t="shared" si="23"/>
        <v>4.9632111111111099</v>
      </c>
      <c r="K53" s="98">
        <f t="shared" si="23"/>
        <v>4.9632111111111099</v>
      </c>
      <c r="L53" s="98">
        <f t="shared" si="23"/>
        <v>4.9632111111111099</v>
      </c>
      <c r="M53" s="98">
        <f t="shared" si="23"/>
        <v>4.9632111111111099</v>
      </c>
      <c r="N53" s="98">
        <f t="shared" si="23"/>
        <v>0</v>
      </c>
      <c r="O53" s="98">
        <f t="shared" si="23"/>
        <v>0</v>
      </c>
      <c r="P53" s="98">
        <f t="shared" si="23"/>
        <v>0</v>
      </c>
      <c r="Q53" s="91">
        <f t="shared" ref="Q53:Q55" si="24">SUMPRODUCT($E$27:$P$27,E53:P53)/$Q$27</f>
        <v>4.9632111111111099</v>
      </c>
    </row>
    <row r="54" spans="1:26" ht="15.75" customHeight="1">
      <c r="C54" s="85" t="s">
        <v>75</v>
      </c>
      <c r="D54" s="19"/>
      <c r="E54" s="98">
        <v>0</v>
      </c>
      <c r="F54" s="98">
        <f t="shared" ref="F54:P54" si="25">IF(F$27&gt;0,$E$54,0)</f>
        <v>0</v>
      </c>
      <c r="G54" s="98">
        <f t="shared" si="25"/>
        <v>0</v>
      </c>
      <c r="H54" s="98">
        <f t="shared" si="25"/>
        <v>0</v>
      </c>
      <c r="I54" s="98">
        <f t="shared" si="25"/>
        <v>0</v>
      </c>
      <c r="J54" s="98">
        <f t="shared" si="25"/>
        <v>0</v>
      </c>
      <c r="K54" s="98">
        <f t="shared" si="25"/>
        <v>0</v>
      </c>
      <c r="L54" s="98">
        <f t="shared" si="25"/>
        <v>0</v>
      </c>
      <c r="M54" s="98">
        <f t="shared" si="25"/>
        <v>0</v>
      </c>
      <c r="N54" s="98">
        <f t="shared" si="25"/>
        <v>0</v>
      </c>
      <c r="O54" s="98">
        <f t="shared" si="25"/>
        <v>0</v>
      </c>
      <c r="P54" s="98">
        <f t="shared" si="25"/>
        <v>0</v>
      </c>
      <c r="Q54" s="91">
        <f t="shared" si="24"/>
        <v>0</v>
      </c>
    </row>
    <row r="55" spans="1:26" ht="15.75" customHeight="1">
      <c r="C55" s="85" t="s">
        <v>76</v>
      </c>
      <c r="D55" s="19"/>
      <c r="E55" s="98">
        <v>0.114078911111111</v>
      </c>
      <c r="F55" s="98">
        <f t="shared" ref="F55:P55" si="26">IF(F$27&gt;0,$E$55,0)</f>
        <v>0.114078911111111</v>
      </c>
      <c r="G55" s="98">
        <f t="shared" si="26"/>
        <v>0.114078911111111</v>
      </c>
      <c r="H55" s="98">
        <f t="shared" si="26"/>
        <v>0.114078911111111</v>
      </c>
      <c r="I55" s="98">
        <f t="shared" si="26"/>
        <v>0.114078911111111</v>
      </c>
      <c r="J55" s="98">
        <f t="shared" si="26"/>
        <v>0.114078911111111</v>
      </c>
      <c r="K55" s="98">
        <f t="shared" si="26"/>
        <v>0.114078911111111</v>
      </c>
      <c r="L55" s="98">
        <f t="shared" si="26"/>
        <v>0.114078911111111</v>
      </c>
      <c r="M55" s="98">
        <f t="shared" si="26"/>
        <v>0.114078911111111</v>
      </c>
      <c r="N55" s="98">
        <f t="shared" si="26"/>
        <v>0</v>
      </c>
      <c r="O55" s="98">
        <f t="shared" si="26"/>
        <v>0</v>
      </c>
      <c r="P55" s="98">
        <f t="shared" si="26"/>
        <v>0</v>
      </c>
      <c r="Q55" s="91">
        <f t="shared" si="24"/>
        <v>0.114078911111111</v>
      </c>
    </row>
    <row r="56" spans="1:26" ht="15.75" customHeight="1">
      <c r="C56" s="101" t="s">
        <v>77</v>
      </c>
      <c r="D56" s="54"/>
      <c r="E56" s="120">
        <f t="shared" ref="E56:Q56" si="27">SUM(E52:E55)</f>
        <v>75.077290022222215</v>
      </c>
      <c r="F56" s="120">
        <f t="shared" si="27"/>
        <v>75.077290022222215</v>
      </c>
      <c r="G56" s="120">
        <f t="shared" si="27"/>
        <v>75.077290022222215</v>
      </c>
      <c r="H56" s="120">
        <f t="shared" si="27"/>
        <v>75.077290022222215</v>
      </c>
      <c r="I56" s="120">
        <f t="shared" si="27"/>
        <v>75.077290022222215</v>
      </c>
      <c r="J56" s="120">
        <f t="shared" si="27"/>
        <v>75.077290022222215</v>
      </c>
      <c r="K56" s="120">
        <f t="shared" si="27"/>
        <v>75.077290022222215</v>
      </c>
      <c r="L56" s="120">
        <f t="shared" si="27"/>
        <v>75.077290022222215</v>
      </c>
      <c r="M56" s="120">
        <f t="shared" si="27"/>
        <v>75.077290022222215</v>
      </c>
      <c r="N56" s="120">
        <f t="shared" si="27"/>
        <v>80</v>
      </c>
      <c r="O56" s="120">
        <f t="shared" si="27"/>
        <v>80</v>
      </c>
      <c r="P56" s="120">
        <f t="shared" si="27"/>
        <v>80</v>
      </c>
      <c r="Q56" s="121">
        <f t="shared" si="27"/>
        <v>85.077290022222215</v>
      </c>
    </row>
    <row r="57" spans="1:26" ht="15.75" customHeight="1">
      <c r="C57" s="101" t="s">
        <v>78</v>
      </c>
      <c r="D57" s="54"/>
      <c r="E57" s="122">
        <f t="shared" ref="E57:Q57" ca="1" si="28">E47+E56</f>
        <v>827.47130348999985</v>
      </c>
      <c r="F57" s="122">
        <f t="shared" ca="1" si="28"/>
        <v>612.28174992452375</v>
      </c>
      <c r="G57" s="122">
        <f t="shared" ca="1" si="28"/>
        <v>540.8452566726985</v>
      </c>
      <c r="H57" s="122">
        <f t="shared" ca="1" si="28"/>
        <v>618.31349595626978</v>
      </c>
      <c r="I57" s="122">
        <f t="shared" ca="1" si="28"/>
        <v>546.87700270444452</v>
      </c>
      <c r="J57" s="122">
        <f t="shared" ca="1" si="28"/>
        <v>504.27912889634916</v>
      </c>
      <c r="K57" s="122">
        <f t="shared" ca="1" si="28"/>
        <v>475.44050945261898</v>
      </c>
      <c r="L57" s="122">
        <f t="shared" ca="1" si="28"/>
        <v>418.78267254952374</v>
      </c>
      <c r="M57" s="122">
        <f t="shared" ca="1" si="28"/>
        <v>384.79238088404765</v>
      </c>
      <c r="N57" s="122">
        <f t="shared" ca="1" si="28"/>
        <v>80</v>
      </c>
      <c r="O57" s="122">
        <f t="shared" ca="1" si="28"/>
        <v>80</v>
      </c>
      <c r="P57" s="122">
        <f t="shared" ca="1" si="28"/>
        <v>80</v>
      </c>
      <c r="Q57" s="123">
        <f t="shared" ca="1" si="28"/>
        <v>548.41655020916573</v>
      </c>
    </row>
    <row r="58" spans="1:26" ht="19.5" customHeight="1">
      <c r="A58" s="104"/>
      <c r="B58" s="104"/>
      <c r="C58" s="124" t="s">
        <v>79</v>
      </c>
      <c r="D58" s="125"/>
      <c r="E58" s="126">
        <f t="shared" ref="E58:Q58" ca="1" si="29">E33-E57</f>
        <v>5.2515965100001267</v>
      </c>
      <c r="F58" s="126">
        <f t="shared" ca="1" si="29"/>
        <v>16.342400075476348</v>
      </c>
      <c r="G58" s="126">
        <f t="shared" ca="1" si="29"/>
        <v>14.303343327301491</v>
      </c>
      <c r="H58" s="126">
        <f t="shared" ca="1" si="29"/>
        <v>10.310654043730324</v>
      </c>
      <c r="I58" s="126">
        <f t="shared" ca="1" si="29"/>
        <v>8.2715972955554662</v>
      </c>
      <c r="J58" s="126">
        <f t="shared" ca="1" si="29"/>
        <v>1.8857711036508817</v>
      </c>
      <c r="K58" s="126">
        <f t="shared" ca="1" si="29"/>
        <v>6.2325405473810065</v>
      </c>
      <c r="L58" s="126">
        <f t="shared" ca="1" si="29"/>
        <v>5.7427274504762522</v>
      </c>
      <c r="M58" s="126">
        <f t="shared" ca="1" si="29"/>
        <v>-1.0867308840477108</v>
      </c>
      <c r="N58" s="126">
        <f t="shared" ca="1" si="29"/>
        <v>-80</v>
      </c>
      <c r="O58" s="126">
        <f t="shared" ca="1" si="29"/>
        <v>-80</v>
      </c>
      <c r="P58" s="126">
        <f t="shared" ca="1" si="29"/>
        <v>-80</v>
      </c>
      <c r="Q58" s="127">
        <f t="shared" ca="1" si="29"/>
        <v>-3.971795764721378</v>
      </c>
      <c r="R58" s="104"/>
      <c r="S58" s="104"/>
      <c r="T58" s="104"/>
      <c r="U58" s="104"/>
      <c r="V58" s="104"/>
      <c r="W58" s="104"/>
      <c r="X58" s="104"/>
      <c r="Y58" s="104"/>
      <c r="Z58" s="104"/>
    </row>
    <row r="59" spans="1:26" ht="19.5" customHeight="1">
      <c r="A59" s="104"/>
      <c r="B59" s="104"/>
      <c r="C59" s="124" t="s">
        <v>80</v>
      </c>
      <c r="D59" s="125"/>
      <c r="E59" s="128">
        <f t="shared" ref="E59:P59" ca="1" si="30">E58*E27/1000</f>
        <v>262.57982550000634</v>
      </c>
      <c r="F59" s="128">
        <f t="shared" ca="1" si="30"/>
        <v>653.69600301905393</v>
      </c>
      <c r="G59" s="128">
        <f t="shared" ca="1" si="30"/>
        <v>286.06686654602981</v>
      </c>
      <c r="H59" s="128">
        <f t="shared" ca="1" si="30"/>
        <v>206.21308087460648</v>
      </c>
      <c r="I59" s="128">
        <f t="shared" ca="1" si="30"/>
        <v>165.43194591110932</v>
      </c>
      <c r="J59" s="128">
        <f t="shared" ca="1" si="30"/>
        <v>245.15024347461463</v>
      </c>
      <c r="K59" s="128">
        <f t="shared" ca="1" si="30"/>
        <v>685.5794602119106</v>
      </c>
      <c r="L59" s="128">
        <f t="shared" ca="1" si="30"/>
        <v>229.70909801905009</v>
      </c>
      <c r="M59" s="128">
        <f t="shared" ca="1" si="30"/>
        <v>-21.734617680954216</v>
      </c>
      <c r="N59" s="128">
        <f t="shared" ca="1" si="30"/>
        <v>0</v>
      </c>
      <c r="O59" s="128">
        <f t="shared" ca="1" si="30"/>
        <v>0</v>
      </c>
      <c r="P59" s="128">
        <f t="shared" ca="1" si="30"/>
        <v>0</v>
      </c>
      <c r="Q59" s="129">
        <f ca="1">SUM(E59:P59)</f>
        <v>2712.691905875427</v>
      </c>
      <c r="R59" s="104"/>
      <c r="S59" s="104"/>
      <c r="T59" s="104"/>
      <c r="U59" s="104"/>
      <c r="V59" s="104"/>
      <c r="W59" s="104"/>
      <c r="X59" s="104"/>
      <c r="Y59" s="104"/>
      <c r="Z59" s="104"/>
    </row>
    <row r="60" spans="1:26" ht="19.5" customHeight="1">
      <c r="A60" s="104"/>
      <c r="B60" s="104"/>
      <c r="C60" s="130"/>
      <c r="D60" s="131"/>
      <c r="E60" s="132">
        <f t="shared" ref="E60:Q60" ca="1" si="31">IFERROR(E58/E33,0)</f>
        <v>6.3065354753665676E-3</v>
      </c>
      <c r="F60" s="132">
        <f t="shared" ca="1" si="31"/>
        <v>2.5997092341228611E-2</v>
      </c>
      <c r="G60" s="132">
        <f t="shared" ca="1" si="31"/>
        <v>2.5764891287308463E-2</v>
      </c>
      <c r="H60" s="132">
        <f t="shared" ca="1" si="31"/>
        <v>1.6401937538878076E-2</v>
      </c>
      <c r="I60" s="132">
        <f t="shared" ca="1" si="31"/>
        <v>1.4899789525823295E-2</v>
      </c>
      <c r="J60" s="132">
        <f t="shared" ca="1" si="31"/>
        <v>3.7256062276362538E-3</v>
      </c>
      <c r="K60" s="132">
        <f t="shared" ca="1" si="31"/>
        <v>1.2939359068108558E-2</v>
      </c>
      <c r="L60" s="132">
        <f t="shared" ca="1" si="31"/>
        <v>1.3527406017346082E-2</v>
      </c>
      <c r="M60" s="132">
        <f t="shared" ca="1" si="31"/>
        <v>-2.8321993279163626E-3</v>
      </c>
      <c r="N60" s="132">
        <f t="shared" ca="1" si="31"/>
        <v>0</v>
      </c>
      <c r="O60" s="132">
        <f t="shared" ca="1" si="31"/>
        <v>0</v>
      </c>
      <c r="P60" s="132">
        <f t="shared" ca="1" si="31"/>
        <v>0</v>
      </c>
      <c r="Q60" s="133">
        <f t="shared" ca="1" si="31"/>
        <v>-7.2951309243014552E-3</v>
      </c>
      <c r="R60" s="104"/>
      <c r="S60" s="104"/>
      <c r="T60" s="104"/>
      <c r="U60" s="104"/>
      <c r="V60" s="104"/>
      <c r="W60" s="104"/>
      <c r="X60" s="104"/>
      <c r="Y60" s="104"/>
      <c r="Z60" s="104"/>
    </row>
    <row r="61" spans="1:26" ht="15.75" customHeight="1">
      <c r="C61" s="134" t="s">
        <v>81</v>
      </c>
      <c r="D61" s="135"/>
      <c r="E61" s="135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7"/>
    </row>
    <row r="62" spans="1:26" ht="15.75" customHeight="1">
      <c r="C62" s="138" t="s">
        <v>82</v>
      </c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40"/>
    </row>
    <row r="63" spans="1:26" ht="15.75" customHeight="1">
      <c r="C63" s="138" t="s">
        <v>83</v>
      </c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40"/>
    </row>
    <row r="64" spans="1:26" ht="15.75" customHeight="1">
      <c r="C64" s="18" t="s">
        <v>84</v>
      </c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40"/>
    </row>
    <row r="65" spans="3:17" ht="15.75" customHeight="1">
      <c r="C65" s="18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40"/>
    </row>
    <row r="66" spans="3:17" ht="15.75" customHeight="1">
      <c r="C66" s="20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2"/>
    </row>
    <row r="67" spans="3:17" ht="15.75" customHeight="1"/>
    <row r="68" spans="3:17" ht="15.75" customHeight="1"/>
    <row r="69" spans="3:17" ht="15.75" customHeight="1"/>
    <row r="70" spans="3:17" ht="15.75" customHeight="1"/>
    <row r="71" spans="3:17" ht="15.75" customHeight="1"/>
    <row r="72" spans="3:17" ht="15.75" customHeight="1"/>
    <row r="73" spans="3:17" ht="15.75" customHeight="1"/>
    <row r="74" spans="3:17" ht="15.75" customHeight="1"/>
    <row r="75" spans="3:17" ht="15.75" customHeight="1"/>
    <row r="76" spans="3:17" ht="15.75" customHeight="1"/>
    <row r="77" spans="3:17" ht="15.75" customHeight="1"/>
    <row r="78" spans="3:17" ht="15.75" customHeight="1"/>
    <row r="79" spans="3:17" ht="15.75" customHeight="1"/>
    <row r="80" spans="3:1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9:C21"/>
  </mergeCells>
  <pageMargins left="0.7" right="0.7" top="0.75" bottom="0.75" header="0" footer="0"/>
  <pageSetup paperSize="9" orientation="landscape"/>
  <headerFooter>
    <oddHeader>&amp;C&amp;F</oddHeader>
    <oddFooter>&amp;LCPF031219VIZ129&amp;CPage &amp;P&amp;R&amp;D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master!$B:$B</xm:f>
          </x14:formula1>
          <xm:sqref>E14:E17 E19 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2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53125" defaultRowHeight="15" customHeight="1"/>
  <cols>
    <col min="1" max="1" width="3.7265625" customWidth="1"/>
    <col min="2" max="4" width="9" customWidth="1"/>
    <col min="5" max="5" width="10.26953125" customWidth="1"/>
    <col min="6" max="6" width="19.54296875" customWidth="1"/>
    <col min="7" max="7" width="9.08984375" customWidth="1"/>
    <col min="8" max="8" width="9" customWidth="1"/>
    <col min="9" max="9" width="15.08984375" customWidth="1"/>
    <col min="10" max="10" width="16.54296875" customWidth="1"/>
    <col min="11" max="11" width="12.54296875" customWidth="1"/>
    <col min="12" max="12" width="20.08984375" customWidth="1"/>
    <col min="13" max="13" width="23.453125" customWidth="1"/>
    <col min="14" max="26" width="9" customWidth="1"/>
  </cols>
  <sheetData>
    <row r="2" spans="1:26" ht="14.5">
      <c r="B2" s="5" t="s">
        <v>85</v>
      </c>
      <c r="D2" s="5">
        <v>2020</v>
      </c>
      <c r="E2" s="10"/>
      <c r="F2" s="10"/>
      <c r="G2" s="10"/>
      <c r="H2" s="143" t="s">
        <v>86</v>
      </c>
      <c r="I2" s="144" t="s">
        <v>87</v>
      </c>
      <c r="J2" s="145" t="s">
        <v>88</v>
      </c>
      <c r="K2" s="146" t="s">
        <v>89</v>
      </c>
      <c r="L2" s="147" t="s">
        <v>90</v>
      </c>
    </row>
    <row r="3" spans="1:26" ht="14.5">
      <c r="E3" s="10"/>
      <c r="F3" s="10"/>
      <c r="G3" s="10"/>
      <c r="H3" s="148"/>
      <c r="I3" s="186" t="s">
        <v>91</v>
      </c>
      <c r="J3" s="187"/>
      <c r="K3" s="149" t="s">
        <v>92</v>
      </c>
      <c r="L3" s="150"/>
    </row>
    <row r="4" spans="1:26" ht="14.5">
      <c r="A4" s="148" t="s">
        <v>93</v>
      </c>
      <c r="B4" s="151" t="s">
        <v>5</v>
      </c>
      <c r="C4" s="151" t="s">
        <v>94</v>
      </c>
      <c r="D4" s="151" t="s">
        <v>95</v>
      </c>
      <c r="E4" s="151" t="s">
        <v>96</v>
      </c>
      <c r="F4" s="151" t="s">
        <v>97</v>
      </c>
      <c r="G4" s="151" t="s">
        <v>98</v>
      </c>
      <c r="H4" s="151" t="s">
        <v>27</v>
      </c>
      <c r="I4" s="151" t="s">
        <v>99</v>
      </c>
      <c r="J4" s="151" t="s">
        <v>100</v>
      </c>
      <c r="K4" s="148"/>
      <c r="L4" s="152" t="s">
        <v>101</v>
      </c>
      <c r="M4" s="152" t="s">
        <v>102</v>
      </c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 spans="1:26" ht="14.5">
      <c r="A5" s="153">
        <v>1</v>
      </c>
      <c r="B5" s="153" t="s">
        <v>103</v>
      </c>
      <c r="C5" s="153" t="s">
        <v>104</v>
      </c>
      <c r="D5" s="153" t="s">
        <v>105</v>
      </c>
      <c r="E5" s="153" t="s">
        <v>106</v>
      </c>
      <c r="F5" s="153" t="s">
        <v>107</v>
      </c>
      <c r="G5" s="153" t="s">
        <v>108</v>
      </c>
      <c r="H5" s="153">
        <v>1</v>
      </c>
      <c r="I5" s="153"/>
      <c r="J5" s="153"/>
      <c r="K5" s="153">
        <v>45</v>
      </c>
      <c r="L5" s="153">
        <f t="shared" ref="L5:L34" si="0">K5</f>
        <v>45</v>
      </c>
      <c r="M5" s="154">
        <f t="shared" ref="M5:M34" si="1">L5*1.18</f>
        <v>53.099999999999994</v>
      </c>
    </row>
    <row r="6" spans="1:26" ht="14.5">
      <c r="A6" s="153">
        <v>2</v>
      </c>
      <c r="B6" s="153" t="s">
        <v>103</v>
      </c>
      <c r="C6" s="153" t="s">
        <v>104</v>
      </c>
      <c r="D6" s="153" t="s">
        <v>105</v>
      </c>
      <c r="E6" s="153" t="s">
        <v>106</v>
      </c>
      <c r="F6" s="153" t="s">
        <v>109</v>
      </c>
      <c r="G6" s="153" t="s">
        <v>108</v>
      </c>
      <c r="H6" s="153">
        <v>1</v>
      </c>
      <c r="I6" s="153"/>
      <c r="J6" s="153"/>
      <c r="K6" s="153">
        <v>47</v>
      </c>
      <c r="L6" s="153">
        <f t="shared" si="0"/>
        <v>47</v>
      </c>
      <c r="M6" s="154">
        <f t="shared" si="1"/>
        <v>55.459999999999994</v>
      </c>
    </row>
    <row r="7" spans="1:26" ht="14.5">
      <c r="A7" s="153">
        <v>3</v>
      </c>
      <c r="B7" s="153" t="s">
        <v>103</v>
      </c>
      <c r="C7" s="153" t="s">
        <v>104</v>
      </c>
      <c r="D7" s="153" t="s">
        <v>105</v>
      </c>
      <c r="E7" s="153" t="s">
        <v>110</v>
      </c>
      <c r="F7" s="153" t="s">
        <v>107</v>
      </c>
      <c r="G7" s="153" t="s">
        <v>108</v>
      </c>
      <c r="H7" s="153">
        <v>1</v>
      </c>
      <c r="I7" s="153"/>
      <c r="J7" s="153"/>
      <c r="K7" s="153">
        <v>45</v>
      </c>
      <c r="L7" s="153">
        <f t="shared" si="0"/>
        <v>45</v>
      </c>
      <c r="M7" s="154">
        <f t="shared" si="1"/>
        <v>53.099999999999994</v>
      </c>
    </row>
    <row r="8" spans="1:26" ht="14.5">
      <c r="A8" s="153">
        <v>4</v>
      </c>
      <c r="B8" s="153" t="s">
        <v>103</v>
      </c>
      <c r="C8" s="153" t="s">
        <v>104</v>
      </c>
      <c r="D8" s="153" t="s">
        <v>105</v>
      </c>
      <c r="E8" s="153" t="s">
        <v>110</v>
      </c>
      <c r="F8" s="153" t="s">
        <v>109</v>
      </c>
      <c r="G8" s="153" t="s">
        <v>108</v>
      </c>
      <c r="H8" s="153">
        <v>1</v>
      </c>
      <c r="I8" s="153"/>
      <c r="J8" s="153"/>
      <c r="K8" s="153">
        <v>47</v>
      </c>
      <c r="L8" s="153">
        <f t="shared" si="0"/>
        <v>47</v>
      </c>
      <c r="M8" s="154">
        <f t="shared" si="1"/>
        <v>55.459999999999994</v>
      </c>
    </row>
    <row r="9" spans="1:26" ht="14.5">
      <c r="A9" s="5">
        <v>5</v>
      </c>
      <c r="B9" s="5" t="s">
        <v>103</v>
      </c>
      <c r="C9" s="5" t="s">
        <v>111</v>
      </c>
      <c r="D9" s="5" t="s">
        <v>112</v>
      </c>
      <c r="E9" s="5" t="s">
        <v>106</v>
      </c>
      <c r="F9" s="5" t="s">
        <v>113</v>
      </c>
      <c r="G9" s="5" t="s">
        <v>108</v>
      </c>
      <c r="H9" s="5">
        <v>1</v>
      </c>
      <c r="K9" s="5">
        <v>43</v>
      </c>
      <c r="L9" s="5">
        <f t="shared" si="0"/>
        <v>43</v>
      </c>
      <c r="M9" s="155">
        <f t="shared" si="1"/>
        <v>50.739999999999995</v>
      </c>
    </row>
    <row r="10" spans="1:26" ht="14.5">
      <c r="A10" s="5">
        <v>6</v>
      </c>
      <c r="B10" s="5" t="s">
        <v>103</v>
      </c>
      <c r="C10" s="5" t="s">
        <v>111</v>
      </c>
      <c r="D10" s="5" t="s">
        <v>112</v>
      </c>
      <c r="E10" s="5" t="s">
        <v>106</v>
      </c>
      <c r="F10" s="5" t="s">
        <v>109</v>
      </c>
      <c r="G10" s="5" t="s">
        <v>108</v>
      </c>
      <c r="H10" s="5">
        <v>1</v>
      </c>
      <c r="K10" s="5">
        <v>47</v>
      </c>
      <c r="L10" s="5">
        <f t="shared" si="0"/>
        <v>47</v>
      </c>
      <c r="M10" s="155">
        <f t="shared" si="1"/>
        <v>55.459999999999994</v>
      </c>
    </row>
    <row r="11" spans="1:26" ht="14.5">
      <c r="A11" s="153">
        <v>7</v>
      </c>
      <c r="B11" s="153" t="s">
        <v>103</v>
      </c>
      <c r="C11" s="153" t="s">
        <v>111</v>
      </c>
      <c r="D11" s="153" t="s">
        <v>114</v>
      </c>
      <c r="E11" s="153" t="s">
        <v>106</v>
      </c>
      <c r="F11" s="153" t="s">
        <v>113</v>
      </c>
      <c r="G11" s="153" t="s">
        <v>108</v>
      </c>
      <c r="H11" s="153">
        <v>1</v>
      </c>
      <c r="I11" s="153"/>
      <c r="J11" s="153"/>
      <c r="K11" s="153">
        <v>53</v>
      </c>
      <c r="L11" s="153">
        <f t="shared" si="0"/>
        <v>53</v>
      </c>
      <c r="M11" s="154">
        <f t="shared" si="1"/>
        <v>62.54</v>
      </c>
    </row>
    <row r="12" spans="1:26" ht="14.5">
      <c r="A12" s="153">
        <v>8</v>
      </c>
      <c r="B12" s="153" t="s">
        <v>103</v>
      </c>
      <c r="C12" s="153" t="s">
        <v>115</v>
      </c>
      <c r="D12" s="153" t="s">
        <v>116</v>
      </c>
      <c r="E12" s="153" t="s">
        <v>106</v>
      </c>
      <c r="F12" s="153" t="s">
        <v>113</v>
      </c>
      <c r="G12" s="153" t="s">
        <v>108</v>
      </c>
      <c r="H12" s="153">
        <v>1</v>
      </c>
      <c r="I12" s="153"/>
      <c r="J12" s="153"/>
      <c r="K12" s="153">
        <v>53</v>
      </c>
      <c r="L12" s="153">
        <f t="shared" si="0"/>
        <v>53</v>
      </c>
      <c r="M12" s="154">
        <f t="shared" si="1"/>
        <v>62.54</v>
      </c>
    </row>
    <row r="13" spans="1:26" ht="14.5">
      <c r="A13" s="153">
        <v>9</v>
      </c>
      <c r="B13" s="153" t="s">
        <v>103</v>
      </c>
      <c r="C13" s="153" t="s">
        <v>115</v>
      </c>
      <c r="D13" s="153" t="s">
        <v>115</v>
      </c>
      <c r="E13" s="153" t="s">
        <v>106</v>
      </c>
      <c r="F13" s="153" t="s">
        <v>113</v>
      </c>
      <c r="G13" s="153" t="s">
        <v>108</v>
      </c>
      <c r="H13" s="153">
        <v>1</v>
      </c>
      <c r="I13" s="153"/>
      <c r="J13" s="153"/>
      <c r="K13" s="153">
        <v>53</v>
      </c>
      <c r="L13" s="153">
        <f t="shared" si="0"/>
        <v>53</v>
      </c>
      <c r="M13" s="154">
        <f t="shared" si="1"/>
        <v>62.54</v>
      </c>
    </row>
    <row r="14" spans="1:26" ht="14.5">
      <c r="A14" s="153">
        <v>10</v>
      </c>
      <c r="B14" s="153" t="s">
        <v>103</v>
      </c>
      <c r="C14" s="153" t="s">
        <v>115</v>
      </c>
      <c r="D14" s="153" t="s">
        <v>117</v>
      </c>
      <c r="E14" s="153" t="s">
        <v>106</v>
      </c>
      <c r="F14" s="153" t="s">
        <v>113</v>
      </c>
      <c r="G14" s="153" t="s">
        <v>108</v>
      </c>
      <c r="H14" s="153">
        <v>1</v>
      </c>
      <c r="I14" s="153"/>
      <c r="J14" s="153"/>
      <c r="K14" s="153">
        <v>53</v>
      </c>
      <c r="L14" s="153">
        <f t="shared" si="0"/>
        <v>53</v>
      </c>
      <c r="M14" s="154">
        <f t="shared" si="1"/>
        <v>62.54</v>
      </c>
    </row>
    <row r="15" spans="1:26" ht="14.5">
      <c r="A15" s="5">
        <v>11</v>
      </c>
      <c r="B15" s="5" t="s">
        <v>103</v>
      </c>
      <c r="C15" s="5" t="s">
        <v>111</v>
      </c>
      <c r="D15" s="5" t="s">
        <v>114</v>
      </c>
      <c r="E15" s="5" t="s">
        <v>106</v>
      </c>
      <c r="F15" s="5" t="s">
        <v>118</v>
      </c>
      <c r="G15" s="5" t="s">
        <v>108</v>
      </c>
      <c r="H15" s="5">
        <v>1</v>
      </c>
      <c r="K15" s="5">
        <v>55</v>
      </c>
      <c r="L15" s="5">
        <f t="shared" si="0"/>
        <v>55</v>
      </c>
      <c r="M15" s="155">
        <f t="shared" si="1"/>
        <v>64.899999999999991</v>
      </c>
    </row>
    <row r="16" spans="1:26" ht="14.5">
      <c r="A16" s="5">
        <v>12</v>
      </c>
      <c r="B16" s="5" t="s">
        <v>103</v>
      </c>
      <c r="C16" s="5" t="s">
        <v>115</v>
      </c>
      <c r="D16" s="5" t="s">
        <v>116</v>
      </c>
      <c r="E16" s="5" t="s">
        <v>106</v>
      </c>
      <c r="F16" s="5" t="s">
        <v>118</v>
      </c>
      <c r="G16" s="5" t="s">
        <v>108</v>
      </c>
      <c r="H16" s="5">
        <v>1</v>
      </c>
      <c r="K16" s="5">
        <v>55</v>
      </c>
      <c r="L16" s="5">
        <f t="shared" si="0"/>
        <v>55</v>
      </c>
      <c r="M16" s="155">
        <f t="shared" si="1"/>
        <v>64.899999999999991</v>
      </c>
    </row>
    <row r="17" spans="1:13" ht="14.5">
      <c r="A17" s="5">
        <v>13</v>
      </c>
      <c r="B17" s="5" t="s">
        <v>103</v>
      </c>
      <c r="C17" s="5" t="s">
        <v>115</v>
      </c>
      <c r="D17" s="5" t="s">
        <v>115</v>
      </c>
      <c r="E17" s="5" t="s">
        <v>106</v>
      </c>
      <c r="F17" s="5" t="s">
        <v>118</v>
      </c>
      <c r="G17" s="5" t="s">
        <v>108</v>
      </c>
      <c r="H17" s="5">
        <v>1</v>
      </c>
      <c r="K17" s="5">
        <v>55</v>
      </c>
      <c r="L17" s="5">
        <f t="shared" si="0"/>
        <v>55</v>
      </c>
      <c r="M17" s="155">
        <f t="shared" si="1"/>
        <v>64.899999999999991</v>
      </c>
    </row>
    <row r="18" spans="1:13" ht="14.5">
      <c r="A18" s="5">
        <v>14</v>
      </c>
      <c r="B18" s="5" t="s">
        <v>103</v>
      </c>
      <c r="C18" s="5" t="s">
        <v>115</v>
      </c>
      <c r="D18" s="5" t="s">
        <v>117</v>
      </c>
      <c r="E18" s="5" t="s">
        <v>106</v>
      </c>
      <c r="F18" s="5" t="s">
        <v>118</v>
      </c>
      <c r="G18" s="5" t="s">
        <v>108</v>
      </c>
      <c r="H18" s="5">
        <v>1</v>
      </c>
      <c r="K18" s="5">
        <v>55</v>
      </c>
      <c r="L18" s="5">
        <f t="shared" si="0"/>
        <v>55</v>
      </c>
      <c r="M18" s="155">
        <f t="shared" si="1"/>
        <v>64.899999999999991</v>
      </c>
    </row>
    <row r="19" spans="1:13" ht="14.5">
      <c r="A19" s="153">
        <v>15</v>
      </c>
      <c r="B19" s="153" t="s">
        <v>103</v>
      </c>
      <c r="C19" s="153" t="s">
        <v>111</v>
      </c>
      <c r="D19" s="153" t="s">
        <v>112</v>
      </c>
      <c r="E19" s="153" t="s">
        <v>119</v>
      </c>
      <c r="F19" s="153" t="s">
        <v>120</v>
      </c>
      <c r="G19" s="153" t="s">
        <v>108</v>
      </c>
      <c r="H19" s="153">
        <v>1</v>
      </c>
      <c r="I19" s="153"/>
      <c r="J19" s="153"/>
      <c r="K19" s="153">
        <v>48</v>
      </c>
      <c r="L19" s="153">
        <f t="shared" si="0"/>
        <v>48</v>
      </c>
      <c r="M19" s="154">
        <f t="shared" si="1"/>
        <v>56.64</v>
      </c>
    </row>
    <row r="20" spans="1:13" ht="14.5">
      <c r="A20" s="153">
        <v>16</v>
      </c>
      <c r="B20" s="153" t="s">
        <v>103</v>
      </c>
      <c r="C20" s="153" t="s">
        <v>111</v>
      </c>
      <c r="D20" s="153" t="s">
        <v>112</v>
      </c>
      <c r="E20" s="153" t="s">
        <v>119</v>
      </c>
      <c r="F20" s="153" t="s">
        <v>121</v>
      </c>
      <c r="G20" s="153" t="s">
        <v>108</v>
      </c>
      <c r="H20" s="153">
        <v>1</v>
      </c>
      <c r="I20" s="153"/>
      <c r="J20" s="153"/>
      <c r="K20" s="153">
        <v>50</v>
      </c>
      <c r="L20" s="153">
        <f t="shared" si="0"/>
        <v>50</v>
      </c>
      <c r="M20" s="154">
        <f t="shared" si="1"/>
        <v>59</v>
      </c>
    </row>
    <row r="21" spans="1:13" ht="15.75" customHeight="1">
      <c r="A21" s="5">
        <v>17</v>
      </c>
      <c r="B21" s="5" t="s">
        <v>103</v>
      </c>
      <c r="C21" s="5" t="s">
        <v>111</v>
      </c>
      <c r="D21" s="5" t="s">
        <v>114</v>
      </c>
      <c r="E21" s="5" t="s">
        <v>119</v>
      </c>
      <c r="F21" s="5" t="s">
        <v>122</v>
      </c>
      <c r="G21" s="5" t="s">
        <v>108</v>
      </c>
      <c r="H21" s="5">
        <v>1</v>
      </c>
      <c r="K21" s="5">
        <v>58</v>
      </c>
      <c r="L21" s="5">
        <f t="shared" si="0"/>
        <v>58</v>
      </c>
      <c r="M21" s="155">
        <f t="shared" si="1"/>
        <v>68.44</v>
      </c>
    </row>
    <row r="22" spans="1:13" ht="15.75" customHeight="1">
      <c r="A22" s="5">
        <v>18</v>
      </c>
      <c r="B22" s="5" t="s">
        <v>103</v>
      </c>
      <c r="C22" s="5" t="s">
        <v>115</v>
      </c>
      <c r="D22" s="5" t="s">
        <v>116</v>
      </c>
      <c r="E22" s="5" t="s">
        <v>119</v>
      </c>
      <c r="F22" s="5" t="s">
        <v>122</v>
      </c>
      <c r="G22" s="5" t="s">
        <v>108</v>
      </c>
      <c r="H22" s="5">
        <v>1</v>
      </c>
      <c r="K22" s="5">
        <v>58</v>
      </c>
      <c r="L22" s="5">
        <f t="shared" si="0"/>
        <v>58</v>
      </c>
      <c r="M22" s="155">
        <f t="shared" si="1"/>
        <v>68.44</v>
      </c>
    </row>
    <row r="23" spans="1:13" ht="15.75" customHeight="1">
      <c r="A23" s="5">
        <v>19</v>
      </c>
      <c r="B23" s="5" t="s">
        <v>103</v>
      </c>
      <c r="C23" s="5" t="s">
        <v>115</v>
      </c>
      <c r="D23" s="5" t="s">
        <v>115</v>
      </c>
      <c r="E23" s="5" t="s">
        <v>119</v>
      </c>
      <c r="F23" s="5" t="s">
        <v>122</v>
      </c>
      <c r="G23" s="5" t="s">
        <v>108</v>
      </c>
      <c r="H23" s="5">
        <v>1</v>
      </c>
      <c r="K23" s="5">
        <v>58</v>
      </c>
      <c r="L23" s="5">
        <f t="shared" si="0"/>
        <v>58</v>
      </c>
      <c r="M23" s="155">
        <f t="shared" si="1"/>
        <v>68.44</v>
      </c>
    </row>
    <row r="24" spans="1:13" ht="15.75" customHeight="1">
      <c r="A24" s="5">
        <v>20</v>
      </c>
      <c r="B24" s="5" t="s">
        <v>103</v>
      </c>
      <c r="C24" s="5" t="s">
        <v>115</v>
      </c>
      <c r="D24" s="5" t="s">
        <v>117</v>
      </c>
      <c r="E24" s="5" t="s">
        <v>119</v>
      </c>
      <c r="F24" s="5" t="s">
        <v>122</v>
      </c>
      <c r="G24" s="5" t="s">
        <v>108</v>
      </c>
      <c r="H24" s="5">
        <v>1</v>
      </c>
      <c r="K24" s="5">
        <v>58</v>
      </c>
      <c r="L24" s="5">
        <f t="shared" si="0"/>
        <v>58</v>
      </c>
      <c r="M24" s="155">
        <f t="shared" si="1"/>
        <v>68.44</v>
      </c>
    </row>
    <row r="25" spans="1:13" ht="15.75" customHeight="1">
      <c r="A25" s="153">
        <v>21</v>
      </c>
      <c r="B25" s="153" t="s">
        <v>103</v>
      </c>
      <c r="C25" s="153" t="s">
        <v>111</v>
      </c>
      <c r="D25" s="153" t="s">
        <v>114</v>
      </c>
      <c r="E25" s="153" t="s">
        <v>119</v>
      </c>
      <c r="F25" s="153" t="s">
        <v>121</v>
      </c>
      <c r="G25" s="153" t="s">
        <v>108</v>
      </c>
      <c r="H25" s="153">
        <v>1</v>
      </c>
      <c r="I25" s="153"/>
      <c r="J25" s="153"/>
      <c r="K25" s="153">
        <v>60</v>
      </c>
      <c r="L25" s="153">
        <f t="shared" si="0"/>
        <v>60</v>
      </c>
      <c r="M25" s="154">
        <f t="shared" si="1"/>
        <v>70.8</v>
      </c>
    </row>
    <row r="26" spans="1:13" ht="15.75" customHeight="1">
      <c r="A26" s="153">
        <v>22</v>
      </c>
      <c r="B26" s="153" t="s">
        <v>103</v>
      </c>
      <c r="C26" s="153" t="s">
        <v>115</v>
      </c>
      <c r="D26" s="153" t="s">
        <v>116</v>
      </c>
      <c r="E26" s="153" t="s">
        <v>119</v>
      </c>
      <c r="F26" s="153" t="s">
        <v>121</v>
      </c>
      <c r="G26" s="153" t="s">
        <v>108</v>
      </c>
      <c r="H26" s="153">
        <v>1</v>
      </c>
      <c r="I26" s="153"/>
      <c r="J26" s="153"/>
      <c r="K26" s="153">
        <v>60</v>
      </c>
      <c r="L26" s="153">
        <f t="shared" si="0"/>
        <v>60</v>
      </c>
      <c r="M26" s="154">
        <f t="shared" si="1"/>
        <v>70.8</v>
      </c>
    </row>
    <row r="27" spans="1:13" ht="15.75" customHeight="1">
      <c r="A27" s="153">
        <v>23</v>
      </c>
      <c r="B27" s="153" t="s">
        <v>103</v>
      </c>
      <c r="C27" s="153" t="s">
        <v>115</v>
      </c>
      <c r="D27" s="153" t="s">
        <v>115</v>
      </c>
      <c r="E27" s="153" t="s">
        <v>119</v>
      </c>
      <c r="F27" s="153" t="s">
        <v>121</v>
      </c>
      <c r="G27" s="153" t="s">
        <v>108</v>
      </c>
      <c r="H27" s="153">
        <v>1</v>
      </c>
      <c r="I27" s="153"/>
      <c r="J27" s="153"/>
      <c r="K27" s="153">
        <v>60</v>
      </c>
      <c r="L27" s="153">
        <f t="shared" si="0"/>
        <v>60</v>
      </c>
      <c r="M27" s="154">
        <f t="shared" si="1"/>
        <v>70.8</v>
      </c>
    </row>
    <row r="28" spans="1:13" ht="15.75" customHeight="1">
      <c r="A28" s="153">
        <v>24</v>
      </c>
      <c r="B28" s="153" t="s">
        <v>103</v>
      </c>
      <c r="C28" s="153" t="s">
        <v>115</v>
      </c>
      <c r="D28" s="153" t="s">
        <v>117</v>
      </c>
      <c r="E28" s="153" t="s">
        <v>119</v>
      </c>
      <c r="F28" s="153" t="s">
        <v>121</v>
      </c>
      <c r="G28" s="153" t="s">
        <v>108</v>
      </c>
      <c r="H28" s="153">
        <v>1</v>
      </c>
      <c r="I28" s="153"/>
      <c r="J28" s="153"/>
      <c r="K28" s="153">
        <v>60</v>
      </c>
      <c r="L28" s="153">
        <f t="shared" si="0"/>
        <v>60</v>
      </c>
      <c r="M28" s="154">
        <f t="shared" si="1"/>
        <v>70.8</v>
      </c>
    </row>
    <row r="29" spans="1:13" ht="15.75" customHeight="1">
      <c r="A29" s="5">
        <v>25</v>
      </c>
      <c r="B29" s="5" t="s">
        <v>103</v>
      </c>
      <c r="C29" s="5" t="s">
        <v>123</v>
      </c>
      <c r="D29" s="5" t="s">
        <v>105</v>
      </c>
      <c r="E29" s="5" t="s">
        <v>119</v>
      </c>
      <c r="F29" s="5" t="s">
        <v>124</v>
      </c>
      <c r="G29" s="5" t="s">
        <v>108</v>
      </c>
      <c r="H29" s="5">
        <v>1</v>
      </c>
      <c r="K29" s="5">
        <v>63</v>
      </c>
      <c r="L29" s="5">
        <f t="shared" si="0"/>
        <v>63</v>
      </c>
      <c r="M29" s="155">
        <f t="shared" si="1"/>
        <v>74.339999999999989</v>
      </c>
    </row>
    <row r="30" spans="1:13" ht="15.75" customHeight="1">
      <c r="A30" s="5">
        <v>26</v>
      </c>
      <c r="B30" s="5" t="s">
        <v>103</v>
      </c>
      <c r="C30" s="5" t="s">
        <v>123</v>
      </c>
      <c r="D30" s="5" t="s">
        <v>112</v>
      </c>
      <c r="E30" s="5" t="s">
        <v>119</v>
      </c>
      <c r="F30" s="5" t="s">
        <v>124</v>
      </c>
      <c r="G30" s="5" t="s">
        <v>108</v>
      </c>
      <c r="H30" s="5">
        <v>1</v>
      </c>
      <c r="K30" s="5">
        <v>63</v>
      </c>
      <c r="L30" s="5">
        <f t="shared" si="0"/>
        <v>63</v>
      </c>
      <c r="M30" s="155">
        <f t="shared" si="1"/>
        <v>74.339999999999989</v>
      </c>
    </row>
    <row r="31" spans="1:13" ht="15.75" customHeight="1">
      <c r="A31" s="153">
        <v>27</v>
      </c>
      <c r="B31" s="153" t="s">
        <v>103</v>
      </c>
      <c r="C31" s="153" t="s">
        <v>123</v>
      </c>
      <c r="D31" s="153" t="s">
        <v>125</v>
      </c>
      <c r="E31" s="153" t="s">
        <v>119</v>
      </c>
      <c r="F31" s="153" t="s">
        <v>124</v>
      </c>
      <c r="G31" s="153" t="s">
        <v>108</v>
      </c>
      <c r="H31" s="153">
        <v>1</v>
      </c>
      <c r="I31" s="153"/>
      <c r="J31" s="153"/>
      <c r="K31" s="153">
        <v>70</v>
      </c>
      <c r="L31" s="153">
        <f t="shared" si="0"/>
        <v>70</v>
      </c>
      <c r="M31" s="154">
        <f t="shared" si="1"/>
        <v>82.6</v>
      </c>
    </row>
    <row r="32" spans="1:13" ht="15.75" customHeight="1">
      <c r="A32" s="153">
        <v>28</v>
      </c>
      <c r="B32" s="153" t="s">
        <v>103</v>
      </c>
      <c r="C32" s="153" t="s">
        <v>123</v>
      </c>
      <c r="D32" s="153" t="s">
        <v>116</v>
      </c>
      <c r="E32" s="153" t="s">
        <v>119</v>
      </c>
      <c r="F32" s="153" t="s">
        <v>124</v>
      </c>
      <c r="G32" s="153" t="s">
        <v>108</v>
      </c>
      <c r="H32" s="153">
        <v>1</v>
      </c>
      <c r="I32" s="153"/>
      <c r="J32" s="153"/>
      <c r="K32" s="153">
        <v>70</v>
      </c>
      <c r="L32" s="153">
        <f t="shared" si="0"/>
        <v>70</v>
      </c>
      <c r="M32" s="154">
        <f t="shared" si="1"/>
        <v>82.6</v>
      </c>
    </row>
    <row r="33" spans="1:13" ht="15.75" customHeight="1">
      <c r="A33" s="153">
        <v>29</v>
      </c>
      <c r="B33" s="153" t="s">
        <v>103</v>
      </c>
      <c r="C33" s="153" t="s">
        <v>123</v>
      </c>
      <c r="D33" s="153" t="s">
        <v>115</v>
      </c>
      <c r="E33" s="153" t="s">
        <v>119</v>
      </c>
      <c r="F33" s="153" t="s">
        <v>124</v>
      </c>
      <c r="G33" s="153" t="s">
        <v>108</v>
      </c>
      <c r="H33" s="153">
        <v>1</v>
      </c>
      <c r="I33" s="153"/>
      <c r="J33" s="153"/>
      <c r="K33" s="153">
        <v>70</v>
      </c>
      <c r="L33" s="153">
        <f t="shared" si="0"/>
        <v>70</v>
      </c>
      <c r="M33" s="154">
        <f t="shared" si="1"/>
        <v>82.6</v>
      </c>
    </row>
    <row r="34" spans="1:13" ht="15.75" customHeight="1">
      <c r="A34" s="153">
        <v>30</v>
      </c>
      <c r="B34" s="153" t="s">
        <v>103</v>
      </c>
      <c r="C34" s="153" t="s">
        <v>123</v>
      </c>
      <c r="D34" s="153" t="s">
        <v>117</v>
      </c>
      <c r="E34" s="153" t="s">
        <v>119</v>
      </c>
      <c r="F34" s="153" t="s">
        <v>124</v>
      </c>
      <c r="G34" s="153" t="s">
        <v>108</v>
      </c>
      <c r="H34" s="153">
        <v>1</v>
      </c>
      <c r="I34" s="153"/>
      <c r="J34" s="153"/>
      <c r="K34" s="153">
        <v>70</v>
      </c>
      <c r="L34" s="153">
        <f t="shared" si="0"/>
        <v>70</v>
      </c>
      <c r="M34" s="154">
        <f t="shared" si="1"/>
        <v>82.6</v>
      </c>
    </row>
    <row r="35" spans="1:13" ht="15.75" customHeight="1"/>
    <row r="36" spans="1:13" ht="15.75" customHeight="1"/>
    <row r="37" spans="1:13" ht="15.75" customHeight="1"/>
    <row r="38" spans="1:13" ht="15.75" customHeight="1"/>
    <row r="39" spans="1:13" ht="15.75" customHeight="1"/>
    <row r="40" spans="1:13" ht="15.75" customHeight="1"/>
    <row r="41" spans="1:13" ht="15.75" customHeight="1"/>
    <row r="42" spans="1:13" ht="15.75" customHeight="1"/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3:J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2:K993"/>
  <sheetViews>
    <sheetView workbookViewId="0"/>
  </sheetViews>
  <sheetFormatPr defaultColWidth="14.453125" defaultRowHeight="15" customHeight="1"/>
  <cols>
    <col min="1" max="1" width="9" customWidth="1"/>
    <col min="2" max="2" width="20.81640625" customWidth="1"/>
    <col min="3" max="3" width="13.54296875" customWidth="1"/>
    <col min="4" max="4" width="46.81640625" customWidth="1"/>
    <col min="5" max="5" width="13.54296875" customWidth="1"/>
    <col min="6" max="6" width="14.08984375" customWidth="1"/>
    <col min="7" max="7" width="13.7265625" customWidth="1"/>
    <col min="8" max="8" width="19.26953125" customWidth="1"/>
    <col min="9" max="10" width="9" customWidth="1"/>
    <col min="11" max="11" width="23.08984375" customWidth="1"/>
    <col min="12" max="26" width="9" customWidth="1"/>
  </cols>
  <sheetData>
    <row r="2" spans="2:11" ht="14.5">
      <c r="B2" s="5" t="s">
        <v>47</v>
      </c>
      <c r="C2" s="5" t="s">
        <v>126</v>
      </c>
      <c r="D2" s="5" t="s">
        <v>127</v>
      </c>
      <c r="E2" s="5" t="s">
        <v>128</v>
      </c>
      <c r="F2" s="5" t="s">
        <v>129</v>
      </c>
      <c r="G2" s="5" t="s">
        <v>130</v>
      </c>
      <c r="H2" s="5" t="s">
        <v>25</v>
      </c>
      <c r="I2" s="5" t="s">
        <v>131</v>
      </c>
    </row>
    <row r="3" spans="2:11" ht="14.5">
      <c r="B3" s="5" t="s">
        <v>132</v>
      </c>
      <c r="C3" s="5">
        <v>18</v>
      </c>
      <c r="D3" s="5" t="s">
        <v>133</v>
      </c>
      <c r="E3" s="5">
        <v>37</v>
      </c>
      <c r="F3" s="5">
        <v>22</v>
      </c>
      <c r="G3" s="5">
        <v>0.97</v>
      </c>
      <c r="H3" s="5" t="s">
        <v>134</v>
      </c>
      <c r="I3" s="5" t="e">
        <f t="shared" ref="I3:I236" si="0">VLOOKUP(B3,$K$3:$K$11,1,0)</f>
        <v>#N/A</v>
      </c>
      <c r="K3" s="5" t="s">
        <v>34</v>
      </c>
    </row>
    <row r="4" spans="2:11" ht="14.5">
      <c r="B4" s="5" t="s">
        <v>135</v>
      </c>
      <c r="C4" s="5">
        <v>18</v>
      </c>
      <c r="D4" s="5" t="s">
        <v>136</v>
      </c>
      <c r="E4" s="5">
        <v>38</v>
      </c>
      <c r="F4" s="5">
        <v>31</v>
      </c>
      <c r="G4" s="5">
        <v>0.97</v>
      </c>
      <c r="H4" s="5" t="s">
        <v>137</v>
      </c>
      <c r="I4" s="5" t="e">
        <f t="shared" si="0"/>
        <v>#N/A</v>
      </c>
      <c r="K4" s="5" t="s">
        <v>36</v>
      </c>
    </row>
    <row r="5" spans="2:11" ht="14.5">
      <c r="B5" s="5" t="s">
        <v>138</v>
      </c>
      <c r="C5" s="5">
        <v>18</v>
      </c>
      <c r="D5" s="5" t="s">
        <v>139</v>
      </c>
      <c r="E5" s="5">
        <v>38</v>
      </c>
      <c r="F5" s="5">
        <v>39</v>
      </c>
      <c r="G5" s="5">
        <v>0.97</v>
      </c>
      <c r="H5" s="5" t="s">
        <v>140</v>
      </c>
      <c r="I5" s="5" t="e">
        <f t="shared" si="0"/>
        <v>#N/A</v>
      </c>
      <c r="K5" s="5" t="s">
        <v>38</v>
      </c>
    </row>
    <row r="6" spans="2:11" ht="14.5">
      <c r="B6" s="5" t="s">
        <v>141</v>
      </c>
      <c r="C6" s="5">
        <v>18</v>
      </c>
      <c r="D6" s="5" t="s">
        <v>142</v>
      </c>
      <c r="E6" s="5">
        <v>38</v>
      </c>
      <c r="F6" s="5">
        <v>50</v>
      </c>
      <c r="G6" s="5">
        <v>0.97</v>
      </c>
      <c r="H6" s="5" t="s">
        <v>143</v>
      </c>
      <c r="I6" s="5" t="e">
        <f t="shared" si="0"/>
        <v>#N/A</v>
      </c>
      <c r="K6" s="5" t="s">
        <v>39</v>
      </c>
    </row>
    <row r="7" spans="2:11" ht="14.5">
      <c r="B7" s="5" t="s">
        <v>144</v>
      </c>
      <c r="C7" s="5">
        <v>18</v>
      </c>
      <c r="D7" s="5" t="s">
        <v>145</v>
      </c>
      <c r="E7" s="5">
        <v>38</v>
      </c>
      <c r="F7" s="5">
        <v>61</v>
      </c>
      <c r="G7" s="5">
        <v>0.97</v>
      </c>
      <c r="H7" s="5" t="s">
        <v>146</v>
      </c>
      <c r="I7" s="5" t="e">
        <f t="shared" si="0"/>
        <v>#N/A</v>
      </c>
      <c r="K7" s="156" t="s">
        <v>37</v>
      </c>
    </row>
    <row r="8" spans="2:11" ht="14.5">
      <c r="B8" s="5" t="s">
        <v>147</v>
      </c>
      <c r="C8" s="5">
        <v>18</v>
      </c>
      <c r="D8" s="5" t="s">
        <v>148</v>
      </c>
      <c r="E8" s="5">
        <v>38</v>
      </c>
      <c r="F8" s="5">
        <v>71</v>
      </c>
      <c r="G8" s="5">
        <v>0.97</v>
      </c>
      <c r="H8" s="5" t="s">
        <v>149</v>
      </c>
      <c r="I8" s="5" t="e">
        <f t="shared" si="0"/>
        <v>#N/A</v>
      </c>
      <c r="K8" s="157" t="s">
        <v>40</v>
      </c>
    </row>
    <row r="9" spans="2:11" ht="14.5">
      <c r="B9" s="5" t="s">
        <v>150</v>
      </c>
      <c r="C9" s="5">
        <v>18</v>
      </c>
      <c r="D9" s="5" t="s">
        <v>151</v>
      </c>
      <c r="E9" s="5">
        <v>38</v>
      </c>
      <c r="F9" s="5">
        <v>77</v>
      </c>
      <c r="G9" s="5">
        <v>0.97</v>
      </c>
      <c r="H9" s="5" t="s">
        <v>152</v>
      </c>
      <c r="I9" s="5" t="e">
        <f t="shared" si="0"/>
        <v>#N/A</v>
      </c>
      <c r="K9" s="156" t="s">
        <v>41</v>
      </c>
    </row>
    <row r="10" spans="2:11" ht="14.5">
      <c r="B10" s="5" t="s">
        <v>153</v>
      </c>
      <c r="C10" s="5">
        <v>18</v>
      </c>
      <c r="D10" s="5" t="s">
        <v>154</v>
      </c>
      <c r="E10" s="5">
        <v>38</v>
      </c>
      <c r="F10" s="5">
        <v>98</v>
      </c>
      <c r="G10" s="5">
        <v>0.97</v>
      </c>
      <c r="H10" s="5" t="s">
        <v>155</v>
      </c>
      <c r="I10" s="5" t="e">
        <f t="shared" si="0"/>
        <v>#N/A</v>
      </c>
      <c r="K10" s="156" t="s">
        <v>42</v>
      </c>
    </row>
    <row r="11" spans="2:11" ht="14.5">
      <c r="B11" s="5" t="s">
        <v>156</v>
      </c>
      <c r="C11" s="5">
        <v>18</v>
      </c>
      <c r="D11" s="5" t="s">
        <v>157</v>
      </c>
      <c r="E11" s="5">
        <v>38</v>
      </c>
      <c r="F11" s="5">
        <v>119</v>
      </c>
      <c r="G11" s="5">
        <v>0.97</v>
      </c>
      <c r="H11" s="5" t="s">
        <v>158</v>
      </c>
      <c r="I11" s="5" t="e">
        <f t="shared" si="0"/>
        <v>#N/A</v>
      </c>
      <c r="K11" s="5" t="s">
        <v>43</v>
      </c>
    </row>
    <row r="12" spans="2:11" ht="14.5">
      <c r="B12" s="5" t="s">
        <v>159</v>
      </c>
      <c r="C12" s="5">
        <v>18</v>
      </c>
      <c r="D12" s="5" t="s">
        <v>160</v>
      </c>
      <c r="E12" s="5">
        <v>38</v>
      </c>
      <c r="F12" s="5">
        <v>141</v>
      </c>
      <c r="G12" s="5">
        <v>0.97</v>
      </c>
      <c r="H12" s="5" t="s">
        <v>161</v>
      </c>
      <c r="I12" s="5" t="e">
        <f t="shared" si="0"/>
        <v>#N/A</v>
      </c>
    </row>
    <row r="13" spans="2:11" ht="14.5">
      <c r="B13" s="5" t="s">
        <v>162</v>
      </c>
      <c r="C13" s="5">
        <v>18</v>
      </c>
      <c r="D13" s="5" t="s">
        <v>163</v>
      </c>
      <c r="E13" s="5">
        <v>38</v>
      </c>
      <c r="G13" s="5">
        <v>0.97</v>
      </c>
      <c r="H13" s="158" t="s">
        <v>164</v>
      </c>
      <c r="I13" s="5" t="e">
        <f t="shared" si="0"/>
        <v>#N/A</v>
      </c>
    </row>
    <row r="14" spans="2:11" ht="14.5">
      <c r="B14" s="5" t="s">
        <v>165</v>
      </c>
      <c r="C14" s="5">
        <v>18</v>
      </c>
      <c r="D14" s="5" t="s">
        <v>166</v>
      </c>
      <c r="E14" s="5">
        <v>38</v>
      </c>
      <c r="F14" s="5">
        <v>30</v>
      </c>
      <c r="G14" s="5">
        <v>1</v>
      </c>
      <c r="H14" s="5" t="s">
        <v>164</v>
      </c>
      <c r="I14" s="5" t="e">
        <f t="shared" si="0"/>
        <v>#N/A</v>
      </c>
    </row>
    <row r="15" spans="2:11" ht="14.5">
      <c r="B15" s="5" t="s">
        <v>167</v>
      </c>
      <c r="C15" s="5">
        <v>18</v>
      </c>
      <c r="D15" s="5" t="s">
        <v>168</v>
      </c>
      <c r="E15" s="5">
        <v>38</v>
      </c>
      <c r="F15" s="5">
        <v>23</v>
      </c>
      <c r="G15" s="5">
        <v>1</v>
      </c>
      <c r="H15" s="5" t="s">
        <v>134</v>
      </c>
      <c r="I15" s="5" t="e">
        <f t="shared" si="0"/>
        <v>#N/A</v>
      </c>
    </row>
    <row r="16" spans="2:11" ht="14.5">
      <c r="B16" s="5" t="s">
        <v>169</v>
      </c>
      <c r="C16" s="5">
        <v>18</v>
      </c>
      <c r="D16" s="5" t="s">
        <v>170</v>
      </c>
      <c r="E16" s="5">
        <v>38</v>
      </c>
      <c r="F16" s="5">
        <v>32</v>
      </c>
      <c r="G16" s="5">
        <v>1</v>
      </c>
      <c r="H16" s="5" t="s">
        <v>137</v>
      </c>
      <c r="I16" s="5" t="e">
        <f t="shared" si="0"/>
        <v>#N/A</v>
      </c>
    </row>
    <row r="17" spans="2:9" ht="14.5">
      <c r="B17" s="5" t="s">
        <v>171</v>
      </c>
      <c r="C17" s="5">
        <v>18</v>
      </c>
      <c r="D17" s="5" t="s">
        <v>172</v>
      </c>
      <c r="E17" s="5">
        <v>38</v>
      </c>
      <c r="F17" s="5">
        <v>41</v>
      </c>
      <c r="G17" s="5">
        <v>1</v>
      </c>
      <c r="H17" s="5" t="s">
        <v>140</v>
      </c>
      <c r="I17" s="5" t="e">
        <f t="shared" si="0"/>
        <v>#N/A</v>
      </c>
    </row>
    <row r="18" spans="2:9" ht="14.5">
      <c r="B18" s="5" t="s">
        <v>173</v>
      </c>
      <c r="C18" s="5">
        <v>18</v>
      </c>
      <c r="D18" s="5" t="s">
        <v>174</v>
      </c>
      <c r="E18" s="5">
        <v>38</v>
      </c>
      <c r="F18" s="5">
        <v>52</v>
      </c>
      <c r="G18" s="5">
        <v>1</v>
      </c>
      <c r="H18" s="5" t="s">
        <v>143</v>
      </c>
      <c r="I18" s="5" t="e">
        <f t="shared" si="0"/>
        <v>#N/A</v>
      </c>
    </row>
    <row r="19" spans="2:9" ht="14.5">
      <c r="B19" s="5" t="s">
        <v>175</v>
      </c>
      <c r="C19" s="5">
        <v>18</v>
      </c>
      <c r="D19" s="5" t="s">
        <v>176</v>
      </c>
      <c r="E19" s="5">
        <v>38</v>
      </c>
      <c r="F19" s="5">
        <v>63</v>
      </c>
      <c r="G19" s="5">
        <v>1</v>
      </c>
      <c r="H19" s="5" t="s">
        <v>146</v>
      </c>
      <c r="I19" s="5" t="e">
        <f t="shared" si="0"/>
        <v>#N/A</v>
      </c>
    </row>
    <row r="20" spans="2:9" ht="14.5">
      <c r="B20" s="5" t="s">
        <v>177</v>
      </c>
      <c r="C20" s="5">
        <v>18</v>
      </c>
      <c r="D20" s="5" t="s">
        <v>178</v>
      </c>
      <c r="E20" s="5">
        <v>38</v>
      </c>
      <c r="F20" s="5">
        <v>74</v>
      </c>
      <c r="G20" s="5">
        <v>1</v>
      </c>
      <c r="H20" s="5" t="s">
        <v>149</v>
      </c>
      <c r="I20" s="5" t="e">
        <f t="shared" si="0"/>
        <v>#N/A</v>
      </c>
    </row>
    <row r="21" spans="2:9" ht="15.75" customHeight="1">
      <c r="B21" s="5" t="s">
        <v>179</v>
      </c>
      <c r="C21" s="5">
        <v>18</v>
      </c>
      <c r="D21" s="5" t="s">
        <v>180</v>
      </c>
      <c r="E21" s="5">
        <v>38</v>
      </c>
      <c r="F21" s="5">
        <v>79</v>
      </c>
      <c r="G21" s="5">
        <v>1</v>
      </c>
      <c r="H21" s="5" t="s">
        <v>152</v>
      </c>
      <c r="I21" s="5" t="e">
        <f t="shared" si="0"/>
        <v>#N/A</v>
      </c>
    </row>
    <row r="22" spans="2:9" ht="15.75" customHeight="1">
      <c r="B22" s="5" t="s">
        <v>181</v>
      </c>
      <c r="C22" s="5">
        <v>18</v>
      </c>
      <c r="D22" s="5" t="s">
        <v>182</v>
      </c>
      <c r="E22" s="5">
        <v>38</v>
      </c>
      <c r="F22" s="5">
        <v>101</v>
      </c>
      <c r="G22" s="5">
        <v>1</v>
      </c>
      <c r="H22" s="5" t="s">
        <v>155</v>
      </c>
      <c r="I22" s="5" t="e">
        <f t="shared" si="0"/>
        <v>#N/A</v>
      </c>
    </row>
    <row r="23" spans="2:9" ht="15.75" customHeight="1">
      <c r="B23" s="5" t="s">
        <v>183</v>
      </c>
      <c r="C23" s="5">
        <v>18</v>
      </c>
      <c r="D23" s="5" t="s">
        <v>184</v>
      </c>
      <c r="E23" s="5">
        <v>38</v>
      </c>
      <c r="F23" s="5">
        <v>123</v>
      </c>
      <c r="G23" s="5">
        <v>1</v>
      </c>
      <c r="H23" s="5" t="s">
        <v>158</v>
      </c>
      <c r="I23" s="5" t="e">
        <f t="shared" si="0"/>
        <v>#N/A</v>
      </c>
    </row>
    <row r="24" spans="2:9" ht="15.75" customHeight="1">
      <c r="B24" s="5" t="s">
        <v>185</v>
      </c>
      <c r="C24" s="5">
        <v>18</v>
      </c>
      <c r="D24" s="5" t="s">
        <v>186</v>
      </c>
      <c r="E24" s="5">
        <v>38</v>
      </c>
      <c r="F24" s="5">
        <v>145</v>
      </c>
      <c r="G24" s="5">
        <v>1</v>
      </c>
      <c r="H24" s="5" t="s">
        <v>161</v>
      </c>
      <c r="I24" s="5" t="e">
        <f t="shared" si="0"/>
        <v>#N/A</v>
      </c>
    </row>
    <row r="25" spans="2:9" ht="15.75" customHeight="1">
      <c r="B25" s="5" t="s">
        <v>187</v>
      </c>
      <c r="C25" s="5">
        <v>18</v>
      </c>
      <c r="D25" s="5" t="s">
        <v>188</v>
      </c>
      <c r="E25" s="5">
        <v>38</v>
      </c>
      <c r="F25" s="5">
        <v>15</v>
      </c>
      <c r="G25" s="5">
        <v>0.63</v>
      </c>
      <c r="H25" s="5" t="s">
        <v>189</v>
      </c>
      <c r="I25" s="5" t="e">
        <f t="shared" si="0"/>
        <v>#N/A</v>
      </c>
    </row>
    <row r="26" spans="2:9" ht="15.75" customHeight="1">
      <c r="B26" s="5" t="s">
        <v>190</v>
      </c>
      <c r="C26" s="5">
        <v>18</v>
      </c>
      <c r="D26" s="5" t="s">
        <v>191</v>
      </c>
      <c r="E26" s="5">
        <v>38</v>
      </c>
      <c r="F26" s="5">
        <v>20</v>
      </c>
      <c r="G26" s="5">
        <v>0.63</v>
      </c>
      <c r="H26" s="5" t="s">
        <v>137</v>
      </c>
      <c r="I26" s="5" t="e">
        <f t="shared" si="0"/>
        <v>#N/A</v>
      </c>
    </row>
    <row r="27" spans="2:9" ht="15.75" customHeight="1">
      <c r="B27" s="5" t="s">
        <v>192</v>
      </c>
      <c r="C27" s="5">
        <v>18</v>
      </c>
      <c r="D27" s="5" t="s">
        <v>193</v>
      </c>
      <c r="E27" s="5">
        <v>38</v>
      </c>
      <c r="F27" s="5">
        <v>26</v>
      </c>
      <c r="G27" s="5">
        <v>0.63</v>
      </c>
      <c r="H27" s="5" t="s">
        <v>140</v>
      </c>
      <c r="I27" s="5" t="e">
        <f t="shared" si="0"/>
        <v>#N/A</v>
      </c>
    </row>
    <row r="28" spans="2:9" ht="15.75" customHeight="1">
      <c r="B28" s="5" t="s">
        <v>194</v>
      </c>
      <c r="C28" s="5">
        <v>18</v>
      </c>
      <c r="D28" s="5" t="s">
        <v>195</v>
      </c>
      <c r="E28" s="5">
        <v>38</v>
      </c>
      <c r="F28" s="5">
        <v>33</v>
      </c>
      <c r="G28" s="5">
        <v>0.63</v>
      </c>
      <c r="H28" s="5" t="s">
        <v>143</v>
      </c>
      <c r="I28" s="5" t="e">
        <f t="shared" si="0"/>
        <v>#N/A</v>
      </c>
    </row>
    <row r="29" spans="2:9" ht="15.75" customHeight="1">
      <c r="B29" s="5" t="s">
        <v>196</v>
      </c>
      <c r="C29" s="5">
        <v>18</v>
      </c>
      <c r="D29" s="5" t="s">
        <v>197</v>
      </c>
      <c r="E29" s="5">
        <v>38</v>
      </c>
      <c r="F29" s="5">
        <v>40</v>
      </c>
      <c r="G29" s="5">
        <v>0.63</v>
      </c>
      <c r="H29" s="5" t="s">
        <v>146</v>
      </c>
      <c r="I29" s="5" t="e">
        <f t="shared" si="0"/>
        <v>#N/A</v>
      </c>
    </row>
    <row r="30" spans="2:9" ht="15.75" customHeight="1">
      <c r="B30" s="5" t="s">
        <v>198</v>
      </c>
      <c r="C30" s="5">
        <v>18</v>
      </c>
      <c r="D30" s="5" t="s">
        <v>199</v>
      </c>
      <c r="E30" s="5">
        <v>38</v>
      </c>
      <c r="F30" s="5">
        <v>47</v>
      </c>
      <c r="G30" s="5">
        <v>0.63</v>
      </c>
      <c r="H30" s="5" t="s">
        <v>149</v>
      </c>
      <c r="I30" s="5" t="e">
        <f t="shared" si="0"/>
        <v>#N/A</v>
      </c>
    </row>
    <row r="31" spans="2:9" ht="15.75" customHeight="1">
      <c r="B31" s="5" t="s">
        <v>200</v>
      </c>
      <c r="C31" s="5">
        <v>18</v>
      </c>
      <c r="D31" s="5" t="s">
        <v>201</v>
      </c>
      <c r="E31" s="5">
        <v>38</v>
      </c>
      <c r="F31" s="5">
        <v>50</v>
      </c>
      <c r="G31" s="5">
        <v>0.63</v>
      </c>
      <c r="H31" s="5" t="s">
        <v>152</v>
      </c>
      <c r="I31" s="5" t="e">
        <f t="shared" si="0"/>
        <v>#N/A</v>
      </c>
    </row>
    <row r="32" spans="2:9" ht="15.75" customHeight="1">
      <c r="B32" s="5" t="s">
        <v>202</v>
      </c>
      <c r="C32" s="5">
        <v>18</v>
      </c>
      <c r="D32" s="5" t="s">
        <v>203</v>
      </c>
      <c r="E32" s="5">
        <v>38</v>
      </c>
      <c r="F32" s="5">
        <v>64</v>
      </c>
      <c r="G32" s="5">
        <v>0.63</v>
      </c>
      <c r="H32" s="5" t="s">
        <v>155</v>
      </c>
      <c r="I32" s="5" t="e">
        <f t="shared" si="0"/>
        <v>#N/A</v>
      </c>
    </row>
    <row r="33" spans="2:9" ht="15.75" customHeight="1">
      <c r="B33" s="5" t="s">
        <v>204</v>
      </c>
      <c r="C33" s="5">
        <v>18</v>
      </c>
      <c r="D33" s="5" t="s">
        <v>205</v>
      </c>
      <c r="E33" s="5">
        <v>38</v>
      </c>
      <c r="F33" s="5">
        <v>78</v>
      </c>
      <c r="G33" s="5">
        <v>0.63</v>
      </c>
      <c r="H33" s="5" t="s">
        <v>158</v>
      </c>
      <c r="I33" s="5" t="e">
        <f t="shared" si="0"/>
        <v>#N/A</v>
      </c>
    </row>
    <row r="34" spans="2:9" ht="15.75" customHeight="1">
      <c r="B34" s="5" t="s">
        <v>206</v>
      </c>
      <c r="C34" s="5">
        <v>18</v>
      </c>
      <c r="D34" s="5" t="s">
        <v>207</v>
      </c>
      <c r="E34" s="5">
        <v>38</v>
      </c>
      <c r="F34" s="5">
        <v>92</v>
      </c>
      <c r="G34" s="5">
        <v>0.63</v>
      </c>
      <c r="H34" s="5" t="s">
        <v>161</v>
      </c>
      <c r="I34" s="5" t="e">
        <f t="shared" si="0"/>
        <v>#N/A</v>
      </c>
    </row>
    <row r="35" spans="2:9" ht="15.75" customHeight="1">
      <c r="B35" s="5" t="s">
        <v>208</v>
      </c>
      <c r="C35" s="5">
        <v>18</v>
      </c>
      <c r="D35" s="5" t="s">
        <v>209</v>
      </c>
      <c r="E35" s="5">
        <v>38</v>
      </c>
      <c r="F35" s="5">
        <v>113</v>
      </c>
      <c r="G35" s="5">
        <v>0.63</v>
      </c>
      <c r="H35" s="5" t="s">
        <v>210</v>
      </c>
      <c r="I35" s="5" t="e">
        <f t="shared" si="0"/>
        <v>#N/A</v>
      </c>
    </row>
    <row r="36" spans="2:9" ht="15.75" customHeight="1">
      <c r="B36" s="5" t="s">
        <v>211</v>
      </c>
      <c r="C36" s="5">
        <v>18</v>
      </c>
      <c r="D36" s="5" t="s">
        <v>212</v>
      </c>
      <c r="E36" s="5">
        <v>39</v>
      </c>
      <c r="F36" s="5">
        <v>23</v>
      </c>
      <c r="G36" s="5">
        <v>0.74</v>
      </c>
      <c r="H36" s="5" t="s">
        <v>137</v>
      </c>
      <c r="I36" s="5" t="e">
        <f t="shared" si="0"/>
        <v>#N/A</v>
      </c>
    </row>
    <row r="37" spans="2:9" ht="15.75" customHeight="1">
      <c r="B37" s="5" t="s">
        <v>213</v>
      </c>
      <c r="C37" s="5">
        <v>18</v>
      </c>
      <c r="D37" s="5" t="s">
        <v>214</v>
      </c>
      <c r="E37" s="5">
        <v>39</v>
      </c>
      <c r="F37" s="5">
        <v>30</v>
      </c>
      <c r="G37" s="5">
        <v>0.74</v>
      </c>
      <c r="H37" s="5" t="s">
        <v>140</v>
      </c>
      <c r="I37" s="5" t="e">
        <f t="shared" si="0"/>
        <v>#N/A</v>
      </c>
    </row>
    <row r="38" spans="2:9" ht="15.75" customHeight="1">
      <c r="B38" s="5" t="s">
        <v>215</v>
      </c>
      <c r="C38" s="5">
        <v>18</v>
      </c>
      <c r="D38" s="5" t="s">
        <v>216</v>
      </c>
      <c r="E38" s="5">
        <v>39</v>
      </c>
      <c r="F38" s="5">
        <v>38</v>
      </c>
      <c r="G38" s="5">
        <v>0.74</v>
      </c>
      <c r="H38" s="5" t="s">
        <v>143</v>
      </c>
      <c r="I38" s="5" t="e">
        <f t="shared" si="0"/>
        <v>#N/A</v>
      </c>
    </row>
    <row r="39" spans="2:9" ht="15.75" customHeight="1">
      <c r="B39" s="5" t="s">
        <v>217</v>
      </c>
      <c r="C39" s="5">
        <v>18</v>
      </c>
      <c r="D39" s="5" t="s">
        <v>218</v>
      </c>
      <c r="E39" s="5">
        <v>39</v>
      </c>
      <c r="F39" s="5">
        <v>47</v>
      </c>
      <c r="G39" s="5">
        <v>0.74</v>
      </c>
      <c r="H39" s="5" t="s">
        <v>146</v>
      </c>
      <c r="I39" s="5" t="e">
        <f t="shared" si="0"/>
        <v>#N/A</v>
      </c>
    </row>
    <row r="40" spans="2:9" ht="15.75" customHeight="1">
      <c r="B40" s="5" t="s">
        <v>219</v>
      </c>
      <c r="C40" s="5">
        <v>18</v>
      </c>
      <c r="D40" s="5" t="s">
        <v>220</v>
      </c>
      <c r="E40" s="5">
        <v>39</v>
      </c>
      <c r="F40" s="5">
        <v>55</v>
      </c>
      <c r="G40" s="5">
        <v>0.74</v>
      </c>
      <c r="H40" s="5" t="s">
        <v>149</v>
      </c>
      <c r="I40" s="5" t="e">
        <f t="shared" si="0"/>
        <v>#N/A</v>
      </c>
    </row>
    <row r="41" spans="2:9" ht="15.75" customHeight="1">
      <c r="B41" s="5" t="s">
        <v>221</v>
      </c>
      <c r="C41" s="5">
        <v>18</v>
      </c>
      <c r="D41" s="5" t="s">
        <v>222</v>
      </c>
      <c r="E41" s="5">
        <v>39</v>
      </c>
      <c r="F41" s="5">
        <v>60</v>
      </c>
      <c r="G41" s="5">
        <v>0.74</v>
      </c>
      <c r="H41" s="5" t="s">
        <v>152</v>
      </c>
      <c r="I41" s="5" t="e">
        <f t="shared" si="0"/>
        <v>#N/A</v>
      </c>
    </row>
    <row r="42" spans="2:9" ht="15.75" customHeight="1">
      <c r="B42" s="5" t="s">
        <v>223</v>
      </c>
      <c r="C42" s="5">
        <v>18</v>
      </c>
      <c r="D42" s="5" t="s">
        <v>224</v>
      </c>
      <c r="E42" s="5">
        <v>39</v>
      </c>
      <c r="F42" s="5">
        <v>75</v>
      </c>
      <c r="G42" s="5">
        <v>0.74</v>
      </c>
      <c r="H42" s="5" t="s">
        <v>155</v>
      </c>
      <c r="I42" s="5" t="e">
        <f t="shared" si="0"/>
        <v>#N/A</v>
      </c>
    </row>
    <row r="43" spans="2:9" ht="15.75" customHeight="1">
      <c r="B43" s="5" t="s">
        <v>225</v>
      </c>
      <c r="C43" s="5">
        <v>18</v>
      </c>
      <c r="D43" s="5" t="s">
        <v>226</v>
      </c>
      <c r="E43" s="5">
        <v>39</v>
      </c>
      <c r="F43" s="5">
        <v>90</v>
      </c>
      <c r="G43" s="5">
        <v>0.73</v>
      </c>
      <c r="H43" s="5" t="s">
        <v>158</v>
      </c>
      <c r="I43" s="5" t="e">
        <f t="shared" si="0"/>
        <v>#N/A</v>
      </c>
    </row>
    <row r="44" spans="2:9" ht="15.75" customHeight="1">
      <c r="B44" s="5" t="s">
        <v>227</v>
      </c>
      <c r="C44" s="5">
        <v>18</v>
      </c>
      <c r="D44" s="5" t="s">
        <v>228</v>
      </c>
      <c r="E44" s="5">
        <v>39</v>
      </c>
      <c r="F44" s="5">
        <v>105</v>
      </c>
      <c r="G44" s="5">
        <v>0.73</v>
      </c>
      <c r="H44" s="5" t="s">
        <v>161</v>
      </c>
      <c r="I44" s="5" t="e">
        <f t="shared" si="0"/>
        <v>#N/A</v>
      </c>
    </row>
    <row r="45" spans="2:9" ht="15.75" customHeight="1">
      <c r="B45" s="5" t="s">
        <v>229</v>
      </c>
      <c r="C45" s="5">
        <v>18</v>
      </c>
      <c r="D45" s="5" t="s">
        <v>230</v>
      </c>
      <c r="E45" s="5">
        <v>39</v>
      </c>
      <c r="F45" s="5">
        <v>130</v>
      </c>
      <c r="G45" s="5">
        <v>0.73</v>
      </c>
      <c r="H45" s="5" t="s">
        <v>210</v>
      </c>
      <c r="I45" s="5" t="e">
        <f t="shared" si="0"/>
        <v>#N/A</v>
      </c>
    </row>
    <row r="46" spans="2:9" ht="15.75" customHeight="1">
      <c r="B46" s="5" t="s">
        <v>231</v>
      </c>
      <c r="C46" s="5">
        <v>18</v>
      </c>
      <c r="D46" s="5" t="s">
        <v>232</v>
      </c>
      <c r="E46" s="5">
        <v>40</v>
      </c>
      <c r="F46" s="5">
        <v>150</v>
      </c>
      <c r="G46" s="5">
        <v>0.83</v>
      </c>
      <c r="H46" s="5" t="s">
        <v>210</v>
      </c>
      <c r="I46" s="5" t="e">
        <f t="shared" si="0"/>
        <v>#N/A</v>
      </c>
    </row>
    <row r="47" spans="2:9" ht="15.75" customHeight="1">
      <c r="B47" s="5" t="s">
        <v>233</v>
      </c>
      <c r="C47" s="5">
        <v>18</v>
      </c>
      <c r="D47" s="5" t="s">
        <v>234</v>
      </c>
      <c r="E47" s="5">
        <v>38</v>
      </c>
      <c r="F47" s="5">
        <v>18</v>
      </c>
      <c r="G47" s="5">
        <v>0.81</v>
      </c>
      <c r="H47" s="5" t="s">
        <v>235</v>
      </c>
      <c r="I47" s="5" t="e">
        <f t="shared" si="0"/>
        <v>#N/A</v>
      </c>
    </row>
    <row r="48" spans="2:9" ht="15.75" customHeight="1">
      <c r="B48" s="5" t="s">
        <v>236</v>
      </c>
      <c r="C48" s="5">
        <v>18</v>
      </c>
      <c r="D48" s="5" t="s">
        <v>237</v>
      </c>
      <c r="E48" s="5">
        <v>39</v>
      </c>
      <c r="F48" s="5">
        <v>25</v>
      </c>
      <c r="G48" s="5">
        <v>0.81</v>
      </c>
      <c r="H48" s="5" t="s">
        <v>137</v>
      </c>
      <c r="I48" s="5" t="e">
        <f t="shared" si="0"/>
        <v>#N/A</v>
      </c>
    </row>
    <row r="49" spans="2:9" ht="15.75" customHeight="1">
      <c r="B49" s="5" t="s">
        <v>238</v>
      </c>
      <c r="C49" s="5">
        <v>18</v>
      </c>
      <c r="D49" s="5" t="s">
        <v>239</v>
      </c>
      <c r="E49" s="5">
        <v>39</v>
      </c>
      <c r="F49" s="5">
        <v>33</v>
      </c>
      <c r="G49" s="5">
        <v>0.81</v>
      </c>
      <c r="H49" s="5" t="s">
        <v>140</v>
      </c>
      <c r="I49" s="5" t="e">
        <f t="shared" si="0"/>
        <v>#N/A</v>
      </c>
    </row>
    <row r="50" spans="2:9" ht="15.75" customHeight="1">
      <c r="B50" s="5" t="s">
        <v>240</v>
      </c>
      <c r="C50" s="5">
        <v>18</v>
      </c>
      <c r="D50" s="5" t="s">
        <v>241</v>
      </c>
      <c r="E50" s="5">
        <v>39</v>
      </c>
      <c r="F50" s="5">
        <v>42</v>
      </c>
      <c r="G50" s="5">
        <v>0.81</v>
      </c>
      <c r="H50" s="5" t="s">
        <v>143</v>
      </c>
      <c r="I50" s="5" t="e">
        <f t="shared" si="0"/>
        <v>#N/A</v>
      </c>
    </row>
    <row r="51" spans="2:9" ht="15.75" customHeight="1">
      <c r="B51" s="5" t="s">
        <v>242</v>
      </c>
      <c r="C51" s="5">
        <v>18</v>
      </c>
      <c r="D51" s="5" t="s">
        <v>243</v>
      </c>
      <c r="E51" s="5">
        <v>39</v>
      </c>
      <c r="F51" s="5">
        <v>50</v>
      </c>
      <c r="G51" s="5">
        <v>0.81</v>
      </c>
      <c r="H51" s="5" t="s">
        <v>146</v>
      </c>
      <c r="I51" s="5" t="e">
        <f t="shared" si="0"/>
        <v>#N/A</v>
      </c>
    </row>
    <row r="52" spans="2:9" ht="15.75" customHeight="1">
      <c r="B52" s="5" t="s">
        <v>244</v>
      </c>
      <c r="C52" s="5">
        <v>18</v>
      </c>
      <c r="D52" s="5" t="s">
        <v>245</v>
      </c>
      <c r="E52" s="5">
        <v>39</v>
      </c>
      <c r="F52" s="5">
        <v>60</v>
      </c>
      <c r="G52" s="5">
        <v>0.81</v>
      </c>
      <c r="H52" s="5" t="s">
        <v>149</v>
      </c>
      <c r="I52" s="5" t="e">
        <f t="shared" si="0"/>
        <v>#N/A</v>
      </c>
    </row>
    <row r="53" spans="2:9" ht="15.75" customHeight="1">
      <c r="B53" s="5" t="s">
        <v>246</v>
      </c>
      <c r="C53" s="5">
        <v>18</v>
      </c>
      <c r="D53" s="5" t="s">
        <v>247</v>
      </c>
      <c r="E53" s="5">
        <v>39</v>
      </c>
      <c r="F53" s="5">
        <v>63</v>
      </c>
      <c r="G53" s="5">
        <v>0.81</v>
      </c>
      <c r="H53" s="5" t="s">
        <v>152</v>
      </c>
      <c r="I53" s="5" t="e">
        <f t="shared" si="0"/>
        <v>#N/A</v>
      </c>
    </row>
    <row r="54" spans="2:9" ht="15.75" customHeight="1">
      <c r="B54" s="5" t="s">
        <v>248</v>
      </c>
      <c r="C54" s="5">
        <v>18</v>
      </c>
      <c r="D54" s="5" t="s">
        <v>249</v>
      </c>
      <c r="E54" s="5">
        <v>39</v>
      </c>
      <c r="F54" s="5">
        <v>83</v>
      </c>
      <c r="G54" s="5">
        <v>0.81</v>
      </c>
      <c r="H54" s="5" t="s">
        <v>155</v>
      </c>
      <c r="I54" s="5" t="e">
        <f t="shared" si="0"/>
        <v>#N/A</v>
      </c>
    </row>
    <row r="55" spans="2:9" ht="15.75" customHeight="1">
      <c r="B55" s="5" t="s">
        <v>250</v>
      </c>
      <c r="C55" s="5">
        <v>18</v>
      </c>
      <c r="D55" s="5" t="s">
        <v>251</v>
      </c>
      <c r="E55" s="5">
        <v>39</v>
      </c>
      <c r="F55" s="5">
        <v>100</v>
      </c>
      <c r="G55" s="5">
        <v>0.81</v>
      </c>
      <c r="H55" s="5" t="s">
        <v>158</v>
      </c>
      <c r="I55" s="5" t="e">
        <f t="shared" si="0"/>
        <v>#N/A</v>
      </c>
    </row>
    <row r="56" spans="2:9" ht="15.75" customHeight="1">
      <c r="B56" s="5" t="s">
        <v>252</v>
      </c>
      <c r="C56" s="5">
        <v>18</v>
      </c>
      <c r="D56" s="5" t="s">
        <v>253</v>
      </c>
      <c r="E56" s="5">
        <v>39</v>
      </c>
      <c r="F56" s="5">
        <v>18</v>
      </c>
      <c r="G56" s="5">
        <v>0.81</v>
      </c>
      <c r="H56" s="5" t="s">
        <v>235</v>
      </c>
      <c r="I56" s="5" t="e">
        <f t="shared" si="0"/>
        <v>#N/A</v>
      </c>
    </row>
    <row r="57" spans="2:9" ht="15.75" customHeight="1">
      <c r="B57" s="5" t="s">
        <v>211</v>
      </c>
      <c r="C57" s="5">
        <v>18</v>
      </c>
      <c r="D57" s="5" t="s">
        <v>212</v>
      </c>
      <c r="E57" s="5">
        <v>39</v>
      </c>
      <c r="F57" s="5">
        <v>23</v>
      </c>
      <c r="G57" s="5">
        <v>0.74</v>
      </c>
      <c r="H57" s="5" t="s">
        <v>137</v>
      </c>
      <c r="I57" s="5" t="e">
        <f t="shared" si="0"/>
        <v>#N/A</v>
      </c>
    </row>
    <row r="58" spans="2:9" ht="15.75" customHeight="1">
      <c r="B58" s="5" t="s">
        <v>213</v>
      </c>
      <c r="C58" s="5">
        <v>18</v>
      </c>
      <c r="D58" s="5" t="s">
        <v>214</v>
      </c>
      <c r="E58" s="5">
        <v>39</v>
      </c>
      <c r="F58" s="5">
        <v>30</v>
      </c>
      <c r="G58" s="5">
        <v>0.74</v>
      </c>
      <c r="H58" s="5" t="s">
        <v>140</v>
      </c>
      <c r="I58" s="5" t="e">
        <f t="shared" si="0"/>
        <v>#N/A</v>
      </c>
    </row>
    <row r="59" spans="2:9" ht="15.75" customHeight="1">
      <c r="B59" s="5" t="s">
        <v>215</v>
      </c>
      <c r="C59" s="5">
        <v>18</v>
      </c>
      <c r="D59" s="5" t="s">
        <v>216</v>
      </c>
      <c r="E59" s="5">
        <v>39</v>
      </c>
      <c r="F59" s="5">
        <v>38</v>
      </c>
      <c r="G59" s="5">
        <v>0.74</v>
      </c>
      <c r="H59" s="5" t="s">
        <v>143</v>
      </c>
      <c r="I59" s="5" t="e">
        <f t="shared" si="0"/>
        <v>#N/A</v>
      </c>
    </row>
    <row r="60" spans="2:9" ht="15.75" customHeight="1">
      <c r="B60" s="5" t="s">
        <v>217</v>
      </c>
      <c r="C60" s="5">
        <v>18</v>
      </c>
      <c r="D60" s="5" t="s">
        <v>218</v>
      </c>
      <c r="E60" s="5">
        <v>39</v>
      </c>
      <c r="F60" s="5">
        <v>47</v>
      </c>
      <c r="G60" s="5">
        <v>0.74</v>
      </c>
      <c r="H60" s="5" t="s">
        <v>146</v>
      </c>
      <c r="I60" s="5" t="e">
        <f t="shared" si="0"/>
        <v>#N/A</v>
      </c>
    </row>
    <row r="61" spans="2:9" ht="15.75" customHeight="1">
      <c r="B61" s="5" t="s">
        <v>219</v>
      </c>
      <c r="C61" s="5">
        <v>18</v>
      </c>
      <c r="D61" s="5" t="s">
        <v>220</v>
      </c>
      <c r="E61" s="5">
        <v>39</v>
      </c>
      <c r="F61" s="5">
        <v>55</v>
      </c>
      <c r="G61" s="5">
        <v>0.74</v>
      </c>
      <c r="H61" s="5" t="s">
        <v>149</v>
      </c>
      <c r="I61" s="5" t="e">
        <f t="shared" si="0"/>
        <v>#N/A</v>
      </c>
    </row>
    <row r="62" spans="2:9" ht="15.75" customHeight="1">
      <c r="B62" s="5" t="s">
        <v>221</v>
      </c>
      <c r="C62" s="5">
        <v>18</v>
      </c>
      <c r="D62" s="5" t="s">
        <v>222</v>
      </c>
      <c r="E62" s="5">
        <v>39</v>
      </c>
      <c r="F62" s="5">
        <v>60</v>
      </c>
      <c r="G62" s="5">
        <v>0.74</v>
      </c>
      <c r="H62" s="5" t="s">
        <v>152</v>
      </c>
      <c r="I62" s="5" t="e">
        <f t="shared" si="0"/>
        <v>#N/A</v>
      </c>
    </row>
    <row r="63" spans="2:9" ht="15.75" customHeight="1">
      <c r="B63" s="5" t="s">
        <v>223</v>
      </c>
      <c r="C63" s="5">
        <v>18</v>
      </c>
      <c r="D63" s="5" t="s">
        <v>224</v>
      </c>
      <c r="E63" s="5">
        <v>39</v>
      </c>
      <c r="F63" s="5">
        <v>75</v>
      </c>
      <c r="G63" s="5">
        <v>0.74</v>
      </c>
      <c r="H63" s="5" t="s">
        <v>155</v>
      </c>
      <c r="I63" s="5" t="e">
        <f t="shared" si="0"/>
        <v>#N/A</v>
      </c>
    </row>
    <row r="64" spans="2:9" ht="15.75" customHeight="1">
      <c r="B64" s="5" t="s">
        <v>225</v>
      </c>
      <c r="C64" s="5">
        <v>18</v>
      </c>
      <c r="D64" s="5" t="s">
        <v>226</v>
      </c>
      <c r="E64" s="5">
        <v>39</v>
      </c>
      <c r="F64" s="5">
        <v>90</v>
      </c>
      <c r="G64" s="5">
        <v>0.73</v>
      </c>
      <c r="H64" s="5" t="s">
        <v>158</v>
      </c>
      <c r="I64" s="5" t="e">
        <f t="shared" si="0"/>
        <v>#N/A</v>
      </c>
    </row>
    <row r="65" spans="2:9" ht="15.75" customHeight="1">
      <c r="B65" s="5" t="s">
        <v>227</v>
      </c>
      <c r="C65" s="5">
        <v>18</v>
      </c>
      <c r="D65" s="5" t="s">
        <v>228</v>
      </c>
      <c r="E65" s="5">
        <v>39</v>
      </c>
      <c r="F65" s="5">
        <v>105</v>
      </c>
      <c r="G65" s="5">
        <v>0.73</v>
      </c>
      <c r="H65" s="5" t="s">
        <v>161</v>
      </c>
      <c r="I65" s="5" t="e">
        <f t="shared" si="0"/>
        <v>#N/A</v>
      </c>
    </row>
    <row r="66" spans="2:9" ht="15.75" customHeight="1">
      <c r="B66" s="5" t="s">
        <v>229</v>
      </c>
      <c r="C66" s="5">
        <v>18</v>
      </c>
      <c r="D66" s="5" t="s">
        <v>230</v>
      </c>
      <c r="E66" s="5">
        <v>39</v>
      </c>
      <c r="F66" s="5">
        <v>130</v>
      </c>
      <c r="G66" s="5">
        <v>0.73</v>
      </c>
      <c r="H66" s="5" t="s">
        <v>210</v>
      </c>
      <c r="I66" s="5" t="e">
        <f t="shared" si="0"/>
        <v>#N/A</v>
      </c>
    </row>
    <row r="67" spans="2:9" ht="15.75" customHeight="1">
      <c r="B67" s="5" t="s">
        <v>254</v>
      </c>
      <c r="C67" s="5">
        <v>18</v>
      </c>
      <c r="D67" s="5" t="s">
        <v>255</v>
      </c>
      <c r="E67" s="5">
        <v>39</v>
      </c>
      <c r="F67" s="5">
        <v>20</v>
      </c>
      <c r="G67" s="5">
        <v>0.65</v>
      </c>
      <c r="H67" s="5" t="s">
        <v>137</v>
      </c>
      <c r="I67" s="5" t="e">
        <f t="shared" si="0"/>
        <v>#N/A</v>
      </c>
    </row>
    <row r="68" spans="2:9" ht="15.75" customHeight="1">
      <c r="B68" s="5" t="s">
        <v>256</v>
      </c>
      <c r="C68" s="5">
        <v>18</v>
      </c>
      <c r="D68" s="5" t="s">
        <v>257</v>
      </c>
      <c r="E68" s="5">
        <v>39</v>
      </c>
      <c r="F68" s="5">
        <v>26</v>
      </c>
      <c r="G68" s="5">
        <v>0.65</v>
      </c>
      <c r="H68" s="5" t="s">
        <v>140</v>
      </c>
      <c r="I68" s="5" t="e">
        <f t="shared" si="0"/>
        <v>#N/A</v>
      </c>
    </row>
    <row r="69" spans="2:9" ht="15.75" customHeight="1">
      <c r="B69" s="5" t="s">
        <v>258</v>
      </c>
      <c r="C69" s="5">
        <v>18</v>
      </c>
      <c r="D69" s="5" t="s">
        <v>259</v>
      </c>
      <c r="E69" s="5">
        <v>39</v>
      </c>
      <c r="F69" s="5">
        <v>33</v>
      </c>
      <c r="G69" s="5">
        <v>0.65</v>
      </c>
      <c r="H69" s="5" t="s">
        <v>143</v>
      </c>
      <c r="I69" s="5" t="e">
        <f t="shared" si="0"/>
        <v>#N/A</v>
      </c>
    </row>
    <row r="70" spans="2:9" ht="15.75" customHeight="1">
      <c r="B70" s="5" t="s">
        <v>260</v>
      </c>
      <c r="C70" s="5">
        <v>18</v>
      </c>
      <c r="D70" s="5" t="s">
        <v>261</v>
      </c>
      <c r="E70" s="5">
        <v>39</v>
      </c>
      <c r="F70" s="5">
        <v>40</v>
      </c>
      <c r="G70" s="5">
        <v>0.65</v>
      </c>
      <c r="H70" s="5" t="s">
        <v>146</v>
      </c>
      <c r="I70" s="5" t="e">
        <f t="shared" si="0"/>
        <v>#N/A</v>
      </c>
    </row>
    <row r="71" spans="2:9" ht="15.75" customHeight="1">
      <c r="B71" s="5" t="s">
        <v>262</v>
      </c>
      <c r="C71" s="5">
        <v>18</v>
      </c>
      <c r="D71" s="5" t="s">
        <v>263</v>
      </c>
      <c r="E71" s="5">
        <v>39</v>
      </c>
      <c r="F71" s="5">
        <v>48</v>
      </c>
      <c r="G71" s="5">
        <v>0.65</v>
      </c>
      <c r="H71" s="5" t="s">
        <v>149</v>
      </c>
      <c r="I71" s="5" t="e">
        <f t="shared" si="0"/>
        <v>#N/A</v>
      </c>
    </row>
    <row r="72" spans="2:9" ht="15.75" customHeight="1">
      <c r="B72" s="5" t="s">
        <v>264</v>
      </c>
      <c r="C72" s="5">
        <v>18</v>
      </c>
      <c r="D72" s="5" t="s">
        <v>265</v>
      </c>
      <c r="E72" s="5">
        <v>39</v>
      </c>
      <c r="F72" s="5">
        <v>50</v>
      </c>
      <c r="G72" s="5">
        <v>0.65</v>
      </c>
      <c r="H72" s="5" t="s">
        <v>152</v>
      </c>
      <c r="I72" s="5" t="e">
        <f t="shared" si="0"/>
        <v>#N/A</v>
      </c>
    </row>
    <row r="73" spans="2:9" ht="15.75" customHeight="1">
      <c r="B73" s="5" t="s">
        <v>266</v>
      </c>
      <c r="C73" s="5">
        <v>18</v>
      </c>
      <c r="D73" s="5" t="s">
        <v>267</v>
      </c>
      <c r="E73" s="5">
        <v>39</v>
      </c>
      <c r="F73" s="5">
        <v>65</v>
      </c>
      <c r="G73" s="5">
        <v>0.64</v>
      </c>
      <c r="H73" s="5" t="s">
        <v>155</v>
      </c>
      <c r="I73" s="5" t="e">
        <f t="shared" si="0"/>
        <v>#N/A</v>
      </c>
    </row>
    <row r="74" spans="2:9" ht="15.75" customHeight="1">
      <c r="B74" s="5" t="s">
        <v>268</v>
      </c>
      <c r="C74" s="5">
        <v>18</v>
      </c>
      <c r="D74" s="5" t="s">
        <v>269</v>
      </c>
      <c r="E74" s="5">
        <v>39</v>
      </c>
      <c r="F74" s="5">
        <v>80</v>
      </c>
      <c r="G74" s="5">
        <v>0.64</v>
      </c>
      <c r="H74" s="5" t="s">
        <v>158</v>
      </c>
      <c r="I74" s="5" t="e">
        <f t="shared" si="0"/>
        <v>#N/A</v>
      </c>
    </row>
    <row r="75" spans="2:9" ht="15.75" customHeight="1">
      <c r="B75" s="5" t="s">
        <v>270</v>
      </c>
      <c r="C75" s="5">
        <v>18</v>
      </c>
      <c r="D75" s="5" t="s">
        <v>271</v>
      </c>
      <c r="E75" s="5">
        <v>39</v>
      </c>
      <c r="F75" s="5">
        <v>95</v>
      </c>
      <c r="G75" s="5">
        <v>0.64</v>
      </c>
      <c r="H75" s="5" t="s">
        <v>161</v>
      </c>
      <c r="I75" s="5" t="e">
        <f t="shared" si="0"/>
        <v>#N/A</v>
      </c>
    </row>
    <row r="76" spans="2:9" ht="15.75" customHeight="1">
      <c r="B76" s="5" t="s">
        <v>272</v>
      </c>
      <c r="C76" s="5">
        <v>18</v>
      </c>
      <c r="D76" s="5" t="s">
        <v>273</v>
      </c>
      <c r="E76" s="5">
        <v>39</v>
      </c>
      <c r="F76" s="5">
        <v>115</v>
      </c>
      <c r="G76" s="5">
        <v>0.64</v>
      </c>
      <c r="H76" s="5" t="s">
        <v>210</v>
      </c>
      <c r="I76" s="5" t="e">
        <f t="shared" si="0"/>
        <v>#N/A</v>
      </c>
    </row>
    <row r="77" spans="2:9" ht="15.75" customHeight="1">
      <c r="B77" s="5" t="s">
        <v>274</v>
      </c>
      <c r="C77" s="5">
        <v>18</v>
      </c>
      <c r="D77" s="5" t="s">
        <v>275</v>
      </c>
      <c r="E77" s="5">
        <v>39</v>
      </c>
      <c r="F77" s="5">
        <v>22</v>
      </c>
      <c r="G77" s="5">
        <v>0.71</v>
      </c>
      <c r="H77" s="5" t="s">
        <v>137</v>
      </c>
      <c r="I77" s="5" t="e">
        <f t="shared" si="0"/>
        <v>#N/A</v>
      </c>
    </row>
    <row r="78" spans="2:9" ht="15.75" customHeight="1">
      <c r="B78" s="5" t="s">
        <v>276</v>
      </c>
      <c r="C78" s="5">
        <v>18</v>
      </c>
      <c r="D78" s="5" t="s">
        <v>277</v>
      </c>
      <c r="E78" s="5">
        <v>39</v>
      </c>
      <c r="F78" s="5">
        <v>28</v>
      </c>
      <c r="G78" s="5">
        <v>0.71</v>
      </c>
      <c r="H78" s="5" t="s">
        <v>140</v>
      </c>
      <c r="I78" s="5" t="e">
        <f t="shared" si="0"/>
        <v>#N/A</v>
      </c>
    </row>
    <row r="79" spans="2:9" ht="15.75" customHeight="1">
      <c r="B79" s="5" t="s">
        <v>278</v>
      </c>
      <c r="C79" s="5">
        <v>18</v>
      </c>
      <c r="D79" s="5" t="s">
        <v>279</v>
      </c>
      <c r="E79" s="5">
        <v>39</v>
      </c>
      <c r="F79" s="5">
        <v>35</v>
      </c>
      <c r="G79" s="5">
        <v>0.71</v>
      </c>
      <c r="H79" s="5" t="s">
        <v>143</v>
      </c>
      <c r="I79" s="5" t="e">
        <f t="shared" si="0"/>
        <v>#N/A</v>
      </c>
    </row>
    <row r="80" spans="2:9" ht="15.75" customHeight="1">
      <c r="B80" s="5" t="s">
        <v>280</v>
      </c>
      <c r="C80" s="5">
        <v>18</v>
      </c>
      <c r="D80" s="5" t="s">
        <v>281</v>
      </c>
      <c r="E80" s="5">
        <v>39</v>
      </c>
      <c r="F80" s="5">
        <v>43</v>
      </c>
      <c r="G80" s="5">
        <v>0.71</v>
      </c>
      <c r="H80" s="5" t="s">
        <v>146</v>
      </c>
      <c r="I80" s="5" t="e">
        <f t="shared" si="0"/>
        <v>#N/A</v>
      </c>
    </row>
    <row r="81" spans="2:9" ht="15.75" customHeight="1">
      <c r="B81" s="5" t="s">
        <v>282</v>
      </c>
      <c r="C81" s="5">
        <v>18</v>
      </c>
      <c r="D81" s="5" t="s">
        <v>283</v>
      </c>
      <c r="E81" s="5">
        <v>39</v>
      </c>
      <c r="F81" s="5">
        <v>51</v>
      </c>
      <c r="G81" s="5">
        <v>0.71</v>
      </c>
      <c r="H81" s="5" t="s">
        <v>149</v>
      </c>
      <c r="I81" s="5" t="e">
        <f t="shared" si="0"/>
        <v>#N/A</v>
      </c>
    </row>
    <row r="82" spans="2:9" ht="15.75" customHeight="1">
      <c r="B82" s="5" t="s">
        <v>284</v>
      </c>
      <c r="C82" s="5">
        <v>18</v>
      </c>
      <c r="D82" s="5" t="s">
        <v>285</v>
      </c>
      <c r="E82" s="5">
        <v>39</v>
      </c>
      <c r="F82" s="5">
        <v>55</v>
      </c>
      <c r="G82" s="5">
        <v>0.71</v>
      </c>
      <c r="H82" s="5" t="s">
        <v>152</v>
      </c>
      <c r="I82" s="5" t="e">
        <f t="shared" si="0"/>
        <v>#N/A</v>
      </c>
    </row>
    <row r="83" spans="2:9" ht="15.75" customHeight="1">
      <c r="B83" s="5" t="s">
        <v>286</v>
      </c>
      <c r="C83" s="5">
        <v>18</v>
      </c>
      <c r="D83" s="5" t="s">
        <v>287</v>
      </c>
      <c r="E83" s="5">
        <v>39</v>
      </c>
      <c r="F83" s="5">
        <v>70</v>
      </c>
      <c r="G83" s="5">
        <v>0.71</v>
      </c>
      <c r="H83" s="5" t="s">
        <v>155</v>
      </c>
      <c r="I83" s="5" t="e">
        <f t="shared" si="0"/>
        <v>#N/A</v>
      </c>
    </row>
    <row r="84" spans="2:9" ht="15.75" customHeight="1">
      <c r="B84" s="5" t="s">
        <v>288</v>
      </c>
      <c r="C84" s="5">
        <v>18</v>
      </c>
      <c r="D84" s="5" t="s">
        <v>289</v>
      </c>
      <c r="E84" s="5">
        <v>39</v>
      </c>
      <c r="F84" s="5">
        <v>87</v>
      </c>
      <c r="G84" s="5">
        <v>0.71</v>
      </c>
      <c r="H84" s="5" t="s">
        <v>158</v>
      </c>
      <c r="I84" s="5" t="e">
        <f t="shared" si="0"/>
        <v>#N/A</v>
      </c>
    </row>
    <row r="85" spans="2:9" ht="15.75" customHeight="1">
      <c r="B85" s="5" t="s">
        <v>290</v>
      </c>
      <c r="C85" s="5">
        <v>18</v>
      </c>
      <c r="D85" s="5" t="s">
        <v>291</v>
      </c>
      <c r="E85" s="5">
        <v>39</v>
      </c>
      <c r="F85" s="5">
        <v>102</v>
      </c>
      <c r="G85" s="5">
        <v>0.71</v>
      </c>
      <c r="H85" s="5" t="s">
        <v>161</v>
      </c>
      <c r="I85" s="5" t="e">
        <f t="shared" si="0"/>
        <v>#N/A</v>
      </c>
    </row>
    <row r="86" spans="2:9" ht="15.75" customHeight="1">
      <c r="B86" s="5" t="s">
        <v>292</v>
      </c>
      <c r="C86" s="5">
        <v>18</v>
      </c>
      <c r="D86" s="5" t="s">
        <v>293</v>
      </c>
      <c r="E86" s="5">
        <v>39</v>
      </c>
      <c r="F86" s="5">
        <v>126</v>
      </c>
      <c r="G86" s="5">
        <v>0.71</v>
      </c>
      <c r="H86" s="5" t="s">
        <v>210</v>
      </c>
      <c r="I86" s="5" t="e">
        <f t="shared" si="0"/>
        <v>#N/A</v>
      </c>
    </row>
    <row r="87" spans="2:9" ht="15.75" customHeight="1">
      <c r="B87" s="5" t="s">
        <v>294</v>
      </c>
      <c r="C87" s="5">
        <v>18</v>
      </c>
      <c r="D87" s="5" t="s">
        <v>295</v>
      </c>
      <c r="E87" s="5">
        <v>39</v>
      </c>
      <c r="F87" s="5">
        <v>21</v>
      </c>
      <c r="G87" s="5">
        <v>0.69</v>
      </c>
      <c r="H87" s="5" t="s">
        <v>137</v>
      </c>
      <c r="I87" s="5" t="e">
        <f t="shared" si="0"/>
        <v>#N/A</v>
      </c>
    </row>
    <row r="88" spans="2:9" ht="15.75" customHeight="1">
      <c r="B88" s="5" t="s">
        <v>296</v>
      </c>
      <c r="C88" s="5">
        <v>18</v>
      </c>
      <c r="D88" s="5" t="s">
        <v>297</v>
      </c>
      <c r="E88" s="5">
        <v>39</v>
      </c>
      <c r="F88" s="5">
        <v>27</v>
      </c>
      <c r="G88" s="5">
        <v>0.69</v>
      </c>
      <c r="H88" s="5" t="s">
        <v>140</v>
      </c>
      <c r="I88" s="5" t="e">
        <f t="shared" si="0"/>
        <v>#N/A</v>
      </c>
    </row>
    <row r="89" spans="2:9" ht="15.75" customHeight="1">
      <c r="B89" s="5" t="s">
        <v>298</v>
      </c>
      <c r="C89" s="5">
        <v>18</v>
      </c>
      <c r="D89" s="5" t="s">
        <v>299</v>
      </c>
      <c r="E89" s="5">
        <v>39</v>
      </c>
      <c r="F89" s="5">
        <v>35</v>
      </c>
      <c r="G89" s="5">
        <v>0.69</v>
      </c>
      <c r="H89" s="5" t="s">
        <v>143</v>
      </c>
      <c r="I89" s="5" t="e">
        <f t="shared" si="0"/>
        <v>#N/A</v>
      </c>
    </row>
    <row r="90" spans="2:9" ht="15.75" customHeight="1">
      <c r="B90" s="5" t="s">
        <v>300</v>
      </c>
      <c r="C90" s="5">
        <v>18</v>
      </c>
      <c r="D90" s="5" t="s">
        <v>301</v>
      </c>
      <c r="E90" s="5">
        <v>39</v>
      </c>
      <c r="F90" s="5">
        <v>43</v>
      </c>
      <c r="G90" s="5">
        <v>0.69</v>
      </c>
      <c r="H90" s="5" t="s">
        <v>146</v>
      </c>
      <c r="I90" s="5" t="e">
        <f t="shared" si="0"/>
        <v>#N/A</v>
      </c>
    </row>
    <row r="91" spans="2:9" ht="15.75" customHeight="1">
      <c r="B91" s="5" t="s">
        <v>302</v>
      </c>
      <c r="C91" s="5">
        <v>18</v>
      </c>
      <c r="D91" s="5" t="s">
        <v>303</v>
      </c>
      <c r="E91" s="5">
        <v>39</v>
      </c>
      <c r="F91" s="5">
        <v>50</v>
      </c>
      <c r="G91" s="5">
        <v>0.69</v>
      </c>
      <c r="H91" s="5" t="s">
        <v>149</v>
      </c>
      <c r="I91" s="5" t="e">
        <f t="shared" si="0"/>
        <v>#N/A</v>
      </c>
    </row>
    <row r="92" spans="2:9" ht="15.75" customHeight="1">
      <c r="B92" s="5" t="s">
        <v>304</v>
      </c>
      <c r="C92" s="5">
        <v>18</v>
      </c>
      <c r="D92" s="5" t="s">
        <v>305</v>
      </c>
      <c r="E92" s="5">
        <v>39</v>
      </c>
      <c r="F92" s="5">
        <v>54</v>
      </c>
      <c r="G92" s="5">
        <v>0.69</v>
      </c>
      <c r="H92" s="5" t="s">
        <v>152</v>
      </c>
      <c r="I92" s="5" t="e">
        <f t="shared" si="0"/>
        <v>#N/A</v>
      </c>
    </row>
    <row r="93" spans="2:9" ht="15.75" customHeight="1">
      <c r="B93" s="5" t="s">
        <v>306</v>
      </c>
      <c r="C93" s="5">
        <v>18</v>
      </c>
      <c r="D93" s="5" t="s">
        <v>307</v>
      </c>
      <c r="E93" s="5">
        <v>39</v>
      </c>
      <c r="F93" s="5">
        <v>69</v>
      </c>
      <c r="G93" s="5">
        <v>0.69</v>
      </c>
      <c r="H93" s="5" t="s">
        <v>155</v>
      </c>
      <c r="I93" s="5" t="e">
        <f t="shared" si="0"/>
        <v>#N/A</v>
      </c>
    </row>
    <row r="94" spans="2:9" ht="15.75" customHeight="1">
      <c r="B94" s="5" t="s">
        <v>308</v>
      </c>
      <c r="C94" s="5">
        <v>18</v>
      </c>
      <c r="D94" s="5" t="s">
        <v>309</v>
      </c>
      <c r="E94" s="5">
        <v>39</v>
      </c>
      <c r="F94" s="5">
        <v>84</v>
      </c>
      <c r="G94" s="5">
        <v>0.69</v>
      </c>
      <c r="H94" s="5" t="s">
        <v>158</v>
      </c>
      <c r="I94" s="5" t="e">
        <f t="shared" si="0"/>
        <v>#N/A</v>
      </c>
    </row>
    <row r="95" spans="2:9" ht="15.75" customHeight="1">
      <c r="B95" s="5" t="s">
        <v>310</v>
      </c>
      <c r="C95" s="5">
        <v>18</v>
      </c>
      <c r="D95" s="5" t="s">
        <v>311</v>
      </c>
      <c r="E95" s="5">
        <v>39</v>
      </c>
      <c r="F95" s="5">
        <v>99</v>
      </c>
      <c r="G95" s="5">
        <v>0.69</v>
      </c>
      <c r="H95" s="5" t="s">
        <v>161</v>
      </c>
      <c r="I95" s="5" t="e">
        <f t="shared" si="0"/>
        <v>#N/A</v>
      </c>
    </row>
    <row r="96" spans="2:9" ht="15.75" customHeight="1">
      <c r="B96" s="5" t="s">
        <v>312</v>
      </c>
      <c r="C96" s="5">
        <v>18</v>
      </c>
      <c r="D96" s="5" t="s">
        <v>313</v>
      </c>
      <c r="E96" s="5">
        <v>39</v>
      </c>
      <c r="F96" s="5">
        <v>122</v>
      </c>
      <c r="G96" s="5">
        <v>0.69</v>
      </c>
      <c r="H96" s="5" t="s">
        <v>210</v>
      </c>
      <c r="I96" s="5" t="e">
        <f t="shared" si="0"/>
        <v>#N/A</v>
      </c>
    </row>
    <row r="97" spans="2:9" ht="15.75" customHeight="1">
      <c r="B97" s="5" t="s">
        <v>314</v>
      </c>
      <c r="C97" s="5">
        <v>18</v>
      </c>
      <c r="D97" s="5" t="s">
        <v>315</v>
      </c>
      <c r="E97" s="5">
        <v>39</v>
      </c>
      <c r="F97" s="5">
        <v>22</v>
      </c>
      <c r="G97" s="5">
        <v>0.71</v>
      </c>
      <c r="H97" s="5" t="s">
        <v>137</v>
      </c>
      <c r="I97" s="5" t="e">
        <f t="shared" si="0"/>
        <v>#N/A</v>
      </c>
    </row>
    <row r="98" spans="2:9" ht="15.75" customHeight="1">
      <c r="B98" s="5" t="s">
        <v>316</v>
      </c>
      <c r="C98" s="5">
        <v>18</v>
      </c>
      <c r="D98" s="5" t="s">
        <v>317</v>
      </c>
      <c r="E98" s="5">
        <v>39</v>
      </c>
      <c r="F98" s="5">
        <v>28</v>
      </c>
      <c r="G98" s="5">
        <v>0.71</v>
      </c>
      <c r="H98" s="5" t="s">
        <v>140</v>
      </c>
      <c r="I98" s="5" t="e">
        <f t="shared" si="0"/>
        <v>#N/A</v>
      </c>
    </row>
    <row r="99" spans="2:9" ht="15.75" customHeight="1">
      <c r="B99" s="5" t="s">
        <v>318</v>
      </c>
      <c r="C99" s="5">
        <v>18</v>
      </c>
      <c r="D99" s="5" t="s">
        <v>319</v>
      </c>
      <c r="E99" s="5">
        <v>39</v>
      </c>
      <c r="F99" s="5">
        <v>35</v>
      </c>
      <c r="G99" s="5">
        <v>0.71</v>
      </c>
      <c r="H99" s="5" t="s">
        <v>143</v>
      </c>
      <c r="I99" s="5" t="e">
        <f t="shared" si="0"/>
        <v>#N/A</v>
      </c>
    </row>
    <row r="100" spans="2:9" ht="15.75" customHeight="1">
      <c r="B100" s="5" t="s">
        <v>320</v>
      </c>
      <c r="C100" s="5">
        <v>18</v>
      </c>
      <c r="D100" s="5" t="s">
        <v>321</v>
      </c>
      <c r="E100" s="5">
        <v>39</v>
      </c>
      <c r="F100" s="5">
        <v>43</v>
      </c>
      <c r="G100" s="5">
        <v>0.71</v>
      </c>
      <c r="H100" s="5" t="s">
        <v>146</v>
      </c>
      <c r="I100" s="5" t="e">
        <f t="shared" si="0"/>
        <v>#N/A</v>
      </c>
    </row>
    <row r="101" spans="2:9" ht="15.75" customHeight="1">
      <c r="B101" s="5" t="s">
        <v>322</v>
      </c>
      <c r="C101" s="5">
        <v>18</v>
      </c>
      <c r="D101" s="5" t="s">
        <v>323</v>
      </c>
      <c r="E101" s="5">
        <v>39</v>
      </c>
      <c r="F101" s="5">
        <v>51</v>
      </c>
      <c r="G101" s="5">
        <v>0.71</v>
      </c>
      <c r="H101" s="5" t="s">
        <v>149</v>
      </c>
      <c r="I101" s="5" t="e">
        <f t="shared" si="0"/>
        <v>#N/A</v>
      </c>
    </row>
    <row r="102" spans="2:9" ht="15.75" customHeight="1">
      <c r="B102" s="5" t="s">
        <v>324</v>
      </c>
      <c r="C102" s="5">
        <v>18</v>
      </c>
      <c r="D102" s="5" t="s">
        <v>325</v>
      </c>
      <c r="E102" s="5">
        <v>39</v>
      </c>
      <c r="F102" s="5">
        <v>55</v>
      </c>
      <c r="G102" s="5">
        <v>0.71</v>
      </c>
      <c r="H102" s="5" t="s">
        <v>152</v>
      </c>
      <c r="I102" s="5" t="e">
        <f t="shared" si="0"/>
        <v>#N/A</v>
      </c>
    </row>
    <row r="103" spans="2:9" ht="15.75" customHeight="1">
      <c r="B103" s="5" t="s">
        <v>326</v>
      </c>
      <c r="C103" s="5">
        <v>18</v>
      </c>
      <c r="D103" s="5" t="s">
        <v>327</v>
      </c>
      <c r="E103" s="5">
        <v>39</v>
      </c>
      <c r="F103" s="5">
        <v>70</v>
      </c>
      <c r="G103" s="5">
        <v>0.71</v>
      </c>
      <c r="H103" s="5" t="s">
        <v>155</v>
      </c>
      <c r="I103" s="5" t="e">
        <f t="shared" si="0"/>
        <v>#N/A</v>
      </c>
    </row>
    <row r="104" spans="2:9" ht="15.75" customHeight="1">
      <c r="B104" s="5" t="s">
        <v>328</v>
      </c>
      <c r="C104" s="5">
        <v>18</v>
      </c>
      <c r="D104" s="5" t="s">
        <v>329</v>
      </c>
      <c r="E104" s="5">
        <v>39</v>
      </c>
      <c r="F104" s="5">
        <v>87</v>
      </c>
      <c r="G104" s="5">
        <v>0.71</v>
      </c>
      <c r="H104" s="5" t="s">
        <v>158</v>
      </c>
      <c r="I104" s="5" t="e">
        <f t="shared" si="0"/>
        <v>#N/A</v>
      </c>
    </row>
    <row r="105" spans="2:9" ht="15.75" customHeight="1">
      <c r="B105" s="5" t="s">
        <v>330</v>
      </c>
      <c r="C105" s="5">
        <v>18</v>
      </c>
      <c r="D105" s="5" t="s">
        <v>331</v>
      </c>
      <c r="E105" s="5">
        <v>39</v>
      </c>
      <c r="F105" s="5">
        <v>102</v>
      </c>
      <c r="G105" s="5">
        <v>0.71</v>
      </c>
      <c r="H105" s="5" t="s">
        <v>161</v>
      </c>
      <c r="I105" s="5" t="e">
        <f t="shared" si="0"/>
        <v>#N/A</v>
      </c>
    </row>
    <row r="106" spans="2:9" ht="15.75" customHeight="1">
      <c r="B106" s="5" t="s">
        <v>332</v>
      </c>
      <c r="C106" s="5">
        <v>18</v>
      </c>
      <c r="D106" s="5" t="s">
        <v>333</v>
      </c>
      <c r="E106" s="5">
        <v>39</v>
      </c>
      <c r="F106" s="5">
        <v>126</v>
      </c>
      <c r="G106" s="5">
        <v>0.71</v>
      </c>
      <c r="H106" s="5" t="s">
        <v>210</v>
      </c>
      <c r="I106" s="5" t="e">
        <f t="shared" si="0"/>
        <v>#N/A</v>
      </c>
    </row>
    <row r="107" spans="2:9" ht="15.75" customHeight="1">
      <c r="B107" s="5" t="s">
        <v>334</v>
      </c>
      <c r="C107" s="5">
        <v>18</v>
      </c>
      <c r="D107" s="5" t="s">
        <v>335</v>
      </c>
      <c r="E107" s="5">
        <v>39</v>
      </c>
      <c r="F107" s="5">
        <v>21</v>
      </c>
      <c r="G107" s="5">
        <v>0.69</v>
      </c>
      <c r="H107" s="5" t="s">
        <v>137</v>
      </c>
      <c r="I107" s="5" t="e">
        <f t="shared" si="0"/>
        <v>#N/A</v>
      </c>
    </row>
    <row r="108" spans="2:9" ht="15.75" customHeight="1">
      <c r="B108" s="5" t="s">
        <v>336</v>
      </c>
      <c r="C108" s="5">
        <v>18</v>
      </c>
      <c r="D108" s="5" t="s">
        <v>337</v>
      </c>
      <c r="E108" s="5">
        <v>39</v>
      </c>
      <c r="F108" s="5">
        <v>27</v>
      </c>
      <c r="G108" s="5">
        <v>0.69</v>
      </c>
      <c r="H108" s="5" t="s">
        <v>140</v>
      </c>
      <c r="I108" s="5" t="e">
        <f t="shared" si="0"/>
        <v>#N/A</v>
      </c>
    </row>
    <row r="109" spans="2:9" ht="15.75" customHeight="1">
      <c r="B109" s="5" t="s">
        <v>338</v>
      </c>
      <c r="C109" s="5">
        <v>18</v>
      </c>
      <c r="D109" s="5" t="s">
        <v>339</v>
      </c>
      <c r="E109" s="5">
        <v>39</v>
      </c>
      <c r="F109" s="5">
        <v>35</v>
      </c>
      <c r="G109" s="5">
        <v>0.69</v>
      </c>
      <c r="H109" s="5" t="s">
        <v>143</v>
      </c>
      <c r="I109" s="5" t="e">
        <f t="shared" si="0"/>
        <v>#N/A</v>
      </c>
    </row>
    <row r="110" spans="2:9" ht="15.75" customHeight="1">
      <c r="B110" s="5" t="s">
        <v>340</v>
      </c>
      <c r="C110" s="5">
        <v>18</v>
      </c>
      <c r="D110" s="5" t="s">
        <v>341</v>
      </c>
      <c r="E110" s="5">
        <v>39</v>
      </c>
      <c r="F110" s="5">
        <v>43</v>
      </c>
      <c r="G110" s="5">
        <v>0.69</v>
      </c>
      <c r="H110" s="5" t="s">
        <v>146</v>
      </c>
      <c r="I110" s="5" t="e">
        <f t="shared" si="0"/>
        <v>#N/A</v>
      </c>
    </row>
    <row r="111" spans="2:9" ht="15.75" customHeight="1">
      <c r="B111" s="5" t="s">
        <v>342</v>
      </c>
      <c r="C111" s="5">
        <v>18</v>
      </c>
      <c r="D111" s="5" t="s">
        <v>343</v>
      </c>
      <c r="E111" s="5">
        <v>39</v>
      </c>
      <c r="F111" s="5">
        <v>50</v>
      </c>
      <c r="G111" s="5">
        <v>0.69</v>
      </c>
      <c r="H111" s="5" t="s">
        <v>149</v>
      </c>
      <c r="I111" s="5" t="e">
        <f t="shared" si="0"/>
        <v>#N/A</v>
      </c>
    </row>
    <row r="112" spans="2:9" ht="15.75" customHeight="1">
      <c r="B112" s="5" t="s">
        <v>344</v>
      </c>
      <c r="C112" s="5">
        <v>18</v>
      </c>
      <c r="D112" s="5" t="s">
        <v>345</v>
      </c>
      <c r="E112" s="5">
        <v>39</v>
      </c>
      <c r="F112" s="5">
        <v>54</v>
      </c>
      <c r="G112" s="5">
        <v>0.69</v>
      </c>
      <c r="H112" s="5" t="s">
        <v>152</v>
      </c>
      <c r="I112" s="5" t="e">
        <f t="shared" si="0"/>
        <v>#N/A</v>
      </c>
    </row>
    <row r="113" spans="2:9" ht="15.75" customHeight="1">
      <c r="B113" s="5" t="s">
        <v>346</v>
      </c>
      <c r="C113" s="5">
        <v>18</v>
      </c>
      <c r="D113" s="5" t="s">
        <v>347</v>
      </c>
      <c r="E113" s="5">
        <v>39</v>
      </c>
      <c r="F113" s="5">
        <v>69</v>
      </c>
      <c r="G113" s="5">
        <v>0.69</v>
      </c>
      <c r="H113" s="5" t="s">
        <v>155</v>
      </c>
      <c r="I113" s="5" t="e">
        <f t="shared" si="0"/>
        <v>#N/A</v>
      </c>
    </row>
    <row r="114" spans="2:9" ht="15.75" customHeight="1">
      <c r="B114" s="5" t="s">
        <v>348</v>
      </c>
      <c r="C114" s="5">
        <v>18</v>
      </c>
      <c r="D114" s="5" t="s">
        <v>349</v>
      </c>
      <c r="E114" s="5">
        <v>39</v>
      </c>
      <c r="F114" s="5">
        <v>84</v>
      </c>
      <c r="G114" s="5">
        <v>0.69</v>
      </c>
      <c r="H114" s="5" t="s">
        <v>158</v>
      </c>
      <c r="I114" s="5" t="e">
        <f t="shared" si="0"/>
        <v>#N/A</v>
      </c>
    </row>
    <row r="115" spans="2:9" ht="15.75" customHeight="1">
      <c r="B115" s="5" t="s">
        <v>350</v>
      </c>
      <c r="C115" s="5">
        <v>18</v>
      </c>
      <c r="D115" s="5" t="s">
        <v>351</v>
      </c>
      <c r="E115" s="5">
        <v>39</v>
      </c>
      <c r="F115" s="5">
        <v>99</v>
      </c>
      <c r="G115" s="5">
        <v>0.69</v>
      </c>
      <c r="H115" s="5" t="s">
        <v>161</v>
      </c>
      <c r="I115" s="5" t="e">
        <f t="shared" si="0"/>
        <v>#N/A</v>
      </c>
    </row>
    <row r="116" spans="2:9" ht="15.75" customHeight="1">
      <c r="B116" s="5" t="s">
        <v>352</v>
      </c>
      <c r="C116" s="5">
        <v>18</v>
      </c>
      <c r="D116" s="5" t="s">
        <v>353</v>
      </c>
      <c r="E116" s="5">
        <v>39</v>
      </c>
      <c r="F116" s="5">
        <v>122</v>
      </c>
      <c r="G116" s="5">
        <v>0.69</v>
      </c>
      <c r="H116" s="5" t="s">
        <v>210</v>
      </c>
      <c r="I116" s="5" t="e">
        <f t="shared" si="0"/>
        <v>#N/A</v>
      </c>
    </row>
    <row r="117" spans="2:9" ht="15.75" customHeight="1">
      <c r="B117" s="5" t="s">
        <v>354</v>
      </c>
      <c r="C117" s="5">
        <v>18</v>
      </c>
      <c r="D117" s="5" t="s">
        <v>355</v>
      </c>
      <c r="E117" s="5">
        <v>38</v>
      </c>
      <c r="F117" s="5">
        <v>14</v>
      </c>
      <c r="G117" s="5">
        <v>0.64</v>
      </c>
      <c r="H117" s="5" t="s">
        <v>235</v>
      </c>
      <c r="I117" s="5" t="e">
        <f t="shared" si="0"/>
        <v>#N/A</v>
      </c>
    </row>
    <row r="118" spans="2:9" ht="15.75" customHeight="1">
      <c r="B118" s="5" t="s">
        <v>356</v>
      </c>
      <c r="C118" s="5">
        <v>18</v>
      </c>
      <c r="D118" s="5" t="s">
        <v>357</v>
      </c>
      <c r="E118" s="5">
        <v>39</v>
      </c>
      <c r="F118" s="5">
        <v>20</v>
      </c>
      <c r="G118" s="5">
        <v>0.64</v>
      </c>
      <c r="H118" s="5" t="s">
        <v>137</v>
      </c>
      <c r="I118" s="5" t="e">
        <f t="shared" si="0"/>
        <v>#N/A</v>
      </c>
    </row>
    <row r="119" spans="2:9" ht="15.75" customHeight="1">
      <c r="B119" s="5" t="s">
        <v>358</v>
      </c>
      <c r="C119" s="5">
        <v>18</v>
      </c>
      <c r="D119" s="5" t="s">
        <v>359</v>
      </c>
      <c r="E119" s="5">
        <v>39</v>
      </c>
      <c r="F119" s="5">
        <v>26</v>
      </c>
      <c r="G119" s="5">
        <v>0.64</v>
      </c>
      <c r="H119" s="5" t="s">
        <v>140</v>
      </c>
      <c r="I119" s="5" t="e">
        <f t="shared" si="0"/>
        <v>#N/A</v>
      </c>
    </row>
    <row r="120" spans="2:9" ht="15.75" customHeight="1">
      <c r="B120" s="5" t="s">
        <v>360</v>
      </c>
      <c r="C120" s="5">
        <v>18</v>
      </c>
      <c r="D120" s="5" t="s">
        <v>361</v>
      </c>
      <c r="E120" s="5">
        <v>39</v>
      </c>
      <c r="F120" s="5">
        <v>32</v>
      </c>
      <c r="G120" s="5">
        <v>0.64</v>
      </c>
      <c r="H120" s="5" t="s">
        <v>143</v>
      </c>
      <c r="I120" s="5" t="e">
        <f t="shared" si="0"/>
        <v>#N/A</v>
      </c>
    </row>
    <row r="121" spans="2:9" ht="15.75" customHeight="1">
      <c r="B121" s="5" t="s">
        <v>362</v>
      </c>
      <c r="C121" s="5">
        <v>18</v>
      </c>
      <c r="D121" s="5" t="s">
        <v>363</v>
      </c>
      <c r="E121" s="5">
        <v>39</v>
      </c>
      <c r="F121" s="5">
        <v>39</v>
      </c>
      <c r="G121" s="5">
        <v>0.64</v>
      </c>
      <c r="H121" s="5" t="s">
        <v>146</v>
      </c>
      <c r="I121" s="5" t="e">
        <f t="shared" si="0"/>
        <v>#N/A</v>
      </c>
    </row>
    <row r="122" spans="2:9" ht="15.75" customHeight="1">
      <c r="B122" s="5" t="s">
        <v>364</v>
      </c>
      <c r="C122" s="5">
        <v>18</v>
      </c>
      <c r="D122" s="5" t="s">
        <v>365</v>
      </c>
      <c r="E122" s="5">
        <v>39</v>
      </c>
      <c r="F122" s="5">
        <v>46</v>
      </c>
      <c r="G122" s="5">
        <v>0.64</v>
      </c>
      <c r="H122" s="5" t="s">
        <v>149</v>
      </c>
      <c r="I122" s="5" t="e">
        <f t="shared" si="0"/>
        <v>#N/A</v>
      </c>
    </row>
    <row r="123" spans="2:9" ht="15.75" customHeight="1">
      <c r="B123" s="5" t="s">
        <v>366</v>
      </c>
      <c r="C123" s="5">
        <v>18</v>
      </c>
      <c r="D123" s="5" t="s">
        <v>367</v>
      </c>
      <c r="E123" s="5">
        <v>39</v>
      </c>
      <c r="F123" s="5">
        <v>50</v>
      </c>
      <c r="G123" s="5">
        <v>0.64</v>
      </c>
      <c r="H123" s="5" t="s">
        <v>152</v>
      </c>
      <c r="I123" s="5" t="e">
        <f t="shared" si="0"/>
        <v>#N/A</v>
      </c>
    </row>
    <row r="124" spans="2:9" ht="15.75" customHeight="1">
      <c r="B124" s="5" t="s">
        <v>368</v>
      </c>
      <c r="C124" s="5">
        <v>18</v>
      </c>
      <c r="D124" s="5" t="s">
        <v>369</v>
      </c>
      <c r="E124" s="5">
        <v>39</v>
      </c>
      <c r="F124" s="5">
        <v>65</v>
      </c>
      <c r="G124" s="5">
        <v>0.63</v>
      </c>
      <c r="H124" s="5" t="s">
        <v>155</v>
      </c>
      <c r="I124" s="5" t="e">
        <f t="shared" si="0"/>
        <v>#N/A</v>
      </c>
    </row>
    <row r="125" spans="2:9" ht="15.75" customHeight="1">
      <c r="B125" s="5" t="s">
        <v>370</v>
      </c>
      <c r="C125" s="5">
        <v>18</v>
      </c>
      <c r="D125" s="5" t="s">
        <v>371</v>
      </c>
      <c r="E125" s="5">
        <v>39</v>
      </c>
      <c r="F125" s="5">
        <v>80</v>
      </c>
      <c r="G125" s="5">
        <v>0.63</v>
      </c>
      <c r="H125" s="5" t="s">
        <v>158</v>
      </c>
      <c r="I125" s="5" t="e">
        <f t="shared" si="0"/>
        <v>#N/A</v>
      </c>
    </row>
    <row r="126" spans="2:9" ht="15.75" customHeight="1">
      <c r="B126" s="5" t="s">
        <v>372</v>
      </c>
      <c r="C126" s="5">
        <v>18</v>
      </c>
      <c r="D126" s="5" t="s">
        <v>373</v>
      </c>
      <c r="E126" s="5">
        <v>39</v>
      </c>
      <c r="F126" s="5">
        <v>95</v>
      </c>
      <c r="G126" s="5">
        <v>0.63</v>
      </c>
      <c r="H126" s="5" t="s">
        <v>161</v>
      </c>
      <c r="I126" s="5" t="e">
        <f t="shared" si="0"/>
        <v>#N/A</v>
      </c>
    </row>
    <row r="127" spans="2:9" ht="15.75" customHeight="1">
      <c r="B127" s="5" t="s">
        <v>374</v>
      </c>
      <c r="C127" s="5">
        <v>18</v>
      </c>
      <c r="D127" s="5" t="s">
        <v>375</v>
      </c>
      <c r="E127" s="5">
        <v>39</v>
      </c>
      <c r="F127" s="5">
        <v>115</v>
      </c>
      <c r="G127" s="5">
        <v>0.63</v>
      </c>
      <c r="H127" s="5" t="s">
        <v>210</v>
      </c>
      <c r="I127" s="5" t="e">
        <f t="shared" si="0"/>
        <v>#N/A</v>
      </c>
    </row>
    <row r="128" spans="2:9" ht="15.75" customHeight="1">
      <c r="B128" s="5" t="s">
        <v>376</v>
      </c>
      <c r="C128" s="5">
        <v>18</v>
      </c>
      <c r="D128" s="5" t="s">
        <v>377</v>
      </c>
      <c r="E128" s="5">
        <v>40</v>
      </c>
      <c r="F128" s="5">
        <v>140</v>
      </c>
      <c r="G128" s="5">
        <v>0.63</v>
      </c>
      <c r="H128" s="5" t="s">
        <v>378</v>
      </c>
      <c r="I128" s="5" t="e">
        <f t="shared" si="0"/>
        <v>#N/A</v>
      </c>
    </row>
    <row r="129" spans="2:9" ht="15.75" customHeight="1">
      <c r="B129" s="5" t="s">
        <v>379</v>
      </c>
      <c r="C129" s="5">
        <v>18</v>
      </c>
      <c r="D129" s="5" t="s">
        <v>380</v>
      </c>
      <c r="E129" s="5">
        <v>38</v>
      </c>
      <c r="F129" s="5">
        <v>14</v>
      </c>
      <c r="G129" s="5">
        <v>0.65</v>
      </c>
      <c r="H129" s="5" t="s">
        <v>235</v>
      </c>
      <c r="I129" s="5" t="e">
        <f t="shared" si="0"/>
        <v>#N/A</v>
      </c>
    </row>
    <row r="130" spans="2:9" ht="15.75" customHeight="1">
      <c r="B130" s="5" t="s">
        <v>381</v>
      </c>
      <c r="C130" s="5">
        <v>18</v>
      </c>
      <c r="D130" s="5" t="s">
        <v>382</v>
      </c>
      <c r="E130" s="5">
        <v>39</v>
      </c>
      <c r="F130" s="5">
        <v>20</v>
      </c>
      <c r="G130" s="5">
        <v>0.65</v>
      </c>
      <c r="H130" s="5" t="s">
        <v>137</v>
      </c>
      <c r="I130" s="5" t="e">
        <f t="shared" si="0"/>
        <v>#N/A</v>
      </c>
    </row>
    <row r="131" spans="2:9" ht="15.75" customHeight="1">
      <c r="B131" s="5" t="s">
        <v>383</v>
      </c>
      <c r="C131" s="5">
        <v>18</v>
      </c>
      <c r="D131" s="5" t="s">
        <v>384</v>
      </c>
      <c r="E131" s="5">
        <v>39</v>
      </c>
      <c r="F131" s="5">
        <v>26</v>
      </c>
      <c r="G131" s="5">
        <v>0.65</v>
      </c>
      <c r="H131" s="5" t="s">
        <v>140</v>
      </c>
      <c r="I131" s="5" t="e">
        <f t="shared" si="0"/>
        <v>#N/A</v>
      </c>
    </row>
    <row r="132" spans="2:9" ht="15.75" customHeight="1">
      <c r="B132" s="5" t="s">
        <v>385</v>
      </c>
      <c r="C132" s="5">
        <v>18</v>
      </c>
      <c r="D132" s="5" t="s">
        <v>386</v>
      </c>
      <c r="E132" s="5">
        <v>39</v>
      </c>
      <c r="F132" s="5">
        <v>33</v>
      </c>
      <c r="G132" s="5">
        <v>0.65</v>
      </c>
      <c r="H132" s="5" t="s">
        <v>143</v>
      </c>
      <c r="I132" s="5" t="e">
        <f t="shared" si="0"/>
        <v>#N/A</v>
      </c>
    </row>
    <row r="133" spans="2:9" ht="15.75" customHeight="1">
      <c r="B133" s="5" t="s">
        <v>387</v>
      </c>
      <c r="C133" s="5">
        <v>18</v>
      </c>
      <c r="D133" s="5" t="s">
        <v>388</v>
      </c>
      <c r="E133" s="5">
        <v>39</v>
      </c>
      <c r="F133" s="5">
        <v>40</v>
      </c>
      <c r="G133" s="5">
        <v>0.65</v>
      </c>
      <c r="H133" s="5" t="s">
        <v>146</v>
      </c>
      <c r="I133" s="5" t="e">
        <f t="shared" si="0"/>
        <v>#N/A</v>
      </c>
    </row>
    <row r="134" spans="2:9" ht="15.75" customHeight="1">
      <c r="B134" s="5" t="s">
        <v>389</v>
      </c>
      <c r="C134" s="5">
        <v>18</v>
      </c>
      <c r="D134" s="5" t="s">
        <v>390</v>
      </c>
      <c r="E134" s="5">
        <v>39</v>
      </c>
      <c r="F134" s="5">
        <v>48</v>
      </c>
      <c r="G134" s="5">
        <v>0.65</v>
      </c>
      <c r="H134" s="5" t="s">
        <v>149</v>
      </c>
      <c r="I134" s="5" t="e">
        <f t="shared" si="0"/>
        <v>#N/A</v>
      </c>
    </row>
    <row r="135" spans="2:9" ht="15.75" customHeight="1">
      <c r="B135" s="5" t="s">
        <v>391</v>
      </c>
      <c r="C135" s="5">
        <v>18</v>
      </c>
      <c r="D135" s="5" t="s">
        <v>392</v>
      </c>
      <c r="E135" s="5">
        <v>39</v>
      </c>
      <c r="F135" s="5">
        <v>50</v>
      </c>
      <c r="G135" s="5">
        <v>0.65</v>
      </c>
      <c r="H135" s="5" t="s">
        <v>152</v>
      </c>
      <c r="I135" s="5" t="e">
        <f t="shared" si="0"/>
        <v>#N/A</v>
      </c>
    </row>
    <row r="136" spans="2:9" ht="15.75" customHeight="1">
      <c r="B136" s="5" t="s">
        <v>393</v>
      </c>
      <c r="C136" s="5">
        <v>18</v>
      </c>
      <c r="D136" s="5" t="s">
        <v>394</v>
      </c>
      <c r="E136" s="5">
        <v>39</v>
      </c>
      <c r="F136" s="5">
        <v>65</v>
      </c>
      <c r="G136" s="5">
        <v>0.64</v>
      </c>
      <c r="H136" s="5" t="s">
        <v>155</v>
      </c>
      <c r="I136" s="5" t="e">
        <f t="shared" si="0"/>
        <v>#N/A</v>
      </c>
    </row>
    <row r="137" spans="2:9" ht="15.75" customHeight="1">
      <c r="B137" s="5" t="s">
        <v>395</v>
      </c>
      <c r="C137" s="5">
        <v>18</v>
      </c>
      <c r="D137" s="5" t="s">
        <v>396</v>
      </c>
      <c r="E137" s="5">
        <v>39</v>
      </c>
      <c r="F137" s="5">
        <v>80</v>
      </c>
      <c r="G137" s="5">
        <v>0.64</v>
      </c>
      <c r="H137" s="5" t="s">
        <v>158</v>
      </c>
      <c r="I137" s="5" t="e">
        <f t="shared" si="0"/>
        <v>#N/A</v>
      </c>
    </row>
    <row r="138" spans="2:9" ht="15.75" customHeight="1">
      <c r="B138" s="5" t="s">
        <v>397</v>
      </c>
      <c r="C138" s="5">
        <v>18</v>
      </c>
      <c r="D138" s="5" t="s">
        <v>398</v>
      </c>
      <c r="E138" s="5">
        <v>39</v>
      </c>
      <c r="F138" s="5">
        <v>95</v>
      </c>
      <c r="G138" s="5">
        <v>0.64</v>
      </c>
      <c r="H138" s="5" t="s">
        <v>161</v>
      </c>
      <c r="I138" s="5" t="e">
        <f t="shared" si="0"/>
        <v>#N/A</v>
      </c>
    </row>
    <row r="139" spans="2:9" ht="15.75" customHeight="1">
      <c r="B139" s="5" t="s">
        <v>399</v>
      </c>
      <c r="C139" s="5">
        <v>18</v>
      </c>
      <c r="D139" s="5" t="s">
        <v>400</v>
      </c>
      <c r="E139" s="5">
        <v>39</v>
      </c>
      <c r="F139" s="5">
        <v>115</v>
      </c>
      <c r="G139" s="5">
        <v>0.64</v>
      </c>
      <c r="H139" s="5" t="s">
        <v>210</v>
      </c>
      <c r="I139" s="5" t="e">
        <f t="shared" si="0"/>
        <v>#N/A</v>
      </c>
    </row>
    <row r="140" spans="2:9" ht="15.75" customHeight="1">
      <c r="B140" s="5" t="s">
        <v>401</v>
      </c>
      <c r="C140" s="5">
        <v>18</v>
      </c>
      <c r="D140" s="5" t="s">
        <v>402</v>
      </c>
      <c r="E140" s="5">
        <v>34</v>
      </c>
      <c r="F140" s="5">
        <v>26</v>
      </c>
      <c r="G140" s="5">
        <v>0.98</v>
      </c>
      <c r="H140" s="5" t="s">
        <v>403</v>
      </c>
      <c r="I140" s="5" t="e">
        <f t="shared" si="0"/>
        <v>#N/A</v>
      </c>
    </row>
    <row r="141" spans="2:9" ht="15.75" customHeight="1">
      <c r="B141" s="5" t="s">
        <v>404</v>
      </c>
      <c r="C141" s="5">
        <v>18</v>
      </c>
      <c r="D141" s="5" t="s">
        <v>405</v>
      </c>
      <c r="E141" s="5">
        <v>34</v>
      </c>
      <c r="F141" s="5">
        <v>34</v>
      </c>
      <c r="G141" s="5">
        <v>0.98</v>
      </c>
      <c r="H141" s="5" t="s">
        <v>149</v>
      </c>
      <c r="I141" s="5" t="e">
        <f t="shared" si="0"/>
        <v>#N/A</v>
      </c>
    </row>
    <row r="142" spans="2:9" ht="15.75" customHeight="1">
      <c r="B142" s="5" t="s">
        <v>406</v>
      </c>
      <c r="C142" s="5">
        <v>18</v>
      </c>
      <c r="D142" s="5" t="s">
        <v>407</v>
      </c>
      <c r="E142" s="5">
        <v>34</v>
      </c>
      <c r="F142" s="5">
        <v>38</v>
      </c>
      <c r="G142" s="5">
        <v>0.98</v>
      </c>
      <c r="H142" s="5" t="s">
        <v>408</v>
      </c>
      <c r="I142" s="5" t="e">
        <f t="shared" si="0"/>
        <v>#N/A</v>
      </c>
    </row>
    <row r="143" spans="2:9" ht="15.75" customHeight="1">
      <c r="B143" s="5" t="s">
        <v>409</v>
      </c>
      <c r="C143" s="5">
        <v>18</v>
      </c>
      <c r="D143" s="5" t="s">
        <v>410</v>
      </c>
      <c r="E143" s="5">
        <v>34</v>
      </c>
      <c r="F143" s="5">
        <v>36</v>
      </c>
      <c r="G143" s="5">
        <v>0.98</v>
      </c>
      <c r="H143" s="5" t="s">
        <v>152</v>
      </c>
      <c r="I143" s="5" t="e">
        <f t="shared" si="0"/>
        <v>#N/A</v>
      </c>
    </row>
    <row r="144" spans="2:9" ht="15.75" customHeight="1">
      <c r="B144" s="5" t="s">
        <v>411</v>
      </c>
      <c r="C144" s="5">
        <v>18</v>
      </c>
      <c r="D144" s="5" t="s">
        <v>412</v>
      </c>
      <c r="E144" s="5">
        <v>34</v>
      </c>
      <c r="F144" s="5">
        <v>46</v>
      </c>
      <c r="G144" s="5">
        <v>0.98</v>
      </c>
      <c r="H144" s="5" t="s">
        <v>155</v>
      </c>
      <c r="I144" s="5" t="e">
        <f t="shared" si="0"/>
        <v>#N/A</v>
      </c>
    </row>
    <row r="145" spans="2:9" ht="15.75" customHeight="1">
      <c r="B145" s="5" t="s">
        <v>413</v>
      </c>
      <c r="C145" s="5">
        <v>18</v>
      </c>
      <c r="D145" s="5" t="s">
        <v>414</v>
      </c>
      <c r="E145" s="5">
        <v>34</v>
      </c>
      <c r="F145" s="5">
        <v>56</v>
      </c>
      <c r="G145" s="5">
        <v>0.98</v>
      </c>
      <c r="H145" s="5" t="s">
        <v>158</v>
      </c>
      <c r="I145" s="5" t="e">
        <f t="shared" si="0"/>
        <v>#N/A</v>
      </c>
    </row>
    <row r="146" spans="2:9" ht="15.75" customHeight="1">
      <c r="B146" s="5" t="s">
        <v>415</v>
      </c>
      <c r="C146" s="5">
        <v>18</v>
      </c>
      <c r="D146" s="5" t="s">
        <v>416</v>
      </c>
      <c r="E146" s="5">
        <v>34</v>
      </c>
      <c r="F146" s="5">
        <v>66</v>
      </c>
      <c r="G146" s="5">
        <v>0.98</v>
      </c>
      <c r="H146" s="5" t="s">
        <v>161</v>
      </c>
      <c r="I146" s="5" t="e">
        <f t="shared" si="0"/>
        <v>#N/A</v>
      </c>
    </row>
    <row r="147" spans="2:9" ht="15.75" customHeight="1">
      <c r="B147" s="5" t="s">
        <v>417</v>
      </c>
      <c r="C147" s="5">
        <v>18</v>
      </c>
      <c r="D147" s="5" t="s">
        <v>418</v>
      </c>
      <c r="E147" s="5">
        <v>34</v>
      </c>
      <c r="F147" s="5">
        <v>81</v>
      </c>
      <c r="G147" s="5">
        <v>0.98</v>
      </c>
      <c r="H147" s="5" t="s">
        <v>210</v>
      </c>
      <c r="I147" s="5" t="e">
        <f t="shared" si="0"/>
        <v>#N/A</v>
      </c>
    </row>
    <row r="148" spans="2:9" ht="15.75" customHeight="1">
      <c r="B148" s="5" t="s">
        <v>419</v>
      </c>
      <c r="C148" s="5">
        <v>18</v>
      </c>
      <c r="D148" s="5" t="s">
        <v>420</v>
      </c>
      <c r="E148" s="5">
        <v>34</v>
      </c>
      <c r="F148" s="5">
        <v>26</v>
      </c>
      <c r="G148" s="5">
        <v>0.98</v>
      </c>
      <c r="H148" s="5" t="s">
        <v>421</v>
      </c>
      <c r="I148" s="5" t="e">
        <f t="shared" si="0"/>
        <v>#N/A</v>
      </c>
    </row>
    <row r="149" spans="2:9" ht="15.75" customHeight="1">
      <c r="B149" s="5" t="s">
        <v>422</v>
      </c>
      <c r="C149" s="5">
        <v>18</v>
      </c>
      <c r="D149" s="5" t="s">
        <v>423</v>
      </c>
      <c r="E149" s="5">
        <v>34</v>
      </c>
      <c r="F149" s="5">
        <v>36</v>
      </c>
      <c r="G149" s="5">
        <v>0.98</v>
      </c>
      <c r="H149" s="5" t="s">
        <v>424</v>
      </c>
      <c r="I149" s="5" t="e">
        <f t="shared" si="0"/>
        <v>#N/A</v>
      </c>
    </row>
    <row r="150" spans="2:9" ht="15.75" customHeight="1">
      <c r="B150" s="5" t="s">
        <v>425</v>
      </c>
      <c r="C150" s="5">
        <v>18</v>
      </c>
      <c r="D150" s="5" t="s">
        <v>426</v>
      </c>
      <c r="E150" s="5">
        <v>34</v>
      </c>
      <c r="F150" s="5">
        <v>46</v>
      </c>
      <c r="G150" s="5">
        <v>0.98</v>
      </c>
      <c r="H150" s="5" t="s">
        <v>427</v>
      </c>
      <c r="I150" s="5" t="e">
        <f t="shared" si="0"/>
        <v>#N/A</v>
      </c>
    </row>
    <row r="151" spans="2:9" ht="15.75" customHeight="1">
      <c r="B151" s="5" t="s">
        <v>428</v>
      </c>
      <c r="C151" s="5">
        <v>18</v>
      </c>
      <c r="D151" s="5" t="s">
        <v>429</v>
      </c>
      <c r="E151" s="5">
        <v>34</v>
      </c>
      <c r="F151" s="5">
        <v>56</v>
      </c>
      <c r="G151" s="5">
        <v>0.98</v>
      </c>
      <c r="H151" s="5" t="s">
        <v>430</v>
      </c>
      <c r="I151" s="5" t="e">
        <f t="shared" si="0"/>
        <v>#N/A</v>
      </c>
    </row>
    <row r="152" spans="2:9" ht="15.75" customHeight="1">
      <c r="B152" s="5" t="s">
        <v>431</v>
      </c>
      <c r="C152" s="5">
        <v>18</v>
      </c>
      <c r="D152" s="5" t="s">
        <v>432</v>
      </c>
      <c r="E152" s="5">
        <v>34</v>
      </c>
      <c r="F152" s="5">
        <v>66</v>
      </c>
      <c r="G152" s="5">
        <v>0.98</v>
      </c>
      <c r="H152" s="5" t="s">
        <v>433</v>
      </c>
      <c r="I152" s="5" t="e">
        <f t="shared" si="0"/>
        <v>#N/A</v>
      </c>
    </row>
    <row r="153" spans="2:9" ht="15.75" customHeight="1">
      <c r="B153" s="5" t="s">
        <v>434</v>
      </c>
      <c r="C153" s="5">
        <v>18</v>
      </c>
      <c r="D153" s="5" t="s">
        <v>435</v>
      </c>
      <c r="E153" s="5">
        <v>34</v>
      </c>
      <c r="F153" s="5">
        <v>76</v>
      </c>
      <c r="G153" s="5">
        <v>0.98</v>
      </c>
      <c r="H153" s="5" t="s">
        <v>436</v>
      </c>
      <c r="I153" s="5" t="e">
        <f t="shared" si="0"/>
        <v>#N/A</v>
      </c>
    </row>
    <row r="154" spans="2:9" ht="15.75" customHeight="1">
      <c r="B154" s="5" t="s">
        <v>437</v>
      </c>
      <c r="C154" s="5">
        <v>18</v>
      </c>
      <c r="D154" s="5" t="s">
        <v>438</v>
      </c>
      <c r="E154" s="5">
        <v>30</v>
      </c>
      <c r="F154" s="5">
        <v>20</v>
      </c>
      <c r="G154" s="5">
        <v>0.63</v>
      </c>
      <c r="H154" s="159" t="s">
        <v>137</v>
      </c>
      <c r="I154" s="5" t="e">
        <f t="shared" si="0"/>
        <v>#N/A</v>
      </c>
    </row>
    <row r="155" spans="2:9" ht="15.75" customHeight="1">
      <c r="B155" s="5" t="s">
        <v>439</v>
      </c>
      <c r="C155" s="5">
        <v>18</v>
      </c>
      <c r="D155" s="5" t="s">
        <v>440</v>
      </c>
      <c r="E155" s="5">
        <v>30</v>
      </c>
      <c r="F155" s="5">
        <v>26</v>
      </c>
      <c r="G155" s="5">
        <v>0.63</v>
      </c>
      <c r="H155" s="5" t="s">
        <v>140</v>
      </c>
      <c r="I155" s="5" t="e">
        <f t="shared" si="0"/>
        <v>#N/A</v>
      </c>
    </row>
    <row r="156" spans="2:9" ht="15.75" customHeight="1">
      <c r="B156" s="5" t="s">
        <v>39</v>
      </c>
      <c r="C156" s="5">
        <v>18</v>
      </c>
      <c r="D156" s="5" t="s">
        <v>441</v>
      </c>
      <c r="E156" s="5">
        <v>30</v>
      </c>
      <c r="F156" s="5">
        <v>33</v>
      </c>
      <c r="G156" s="5">
        <v>0.63</v>
      </c>
      <c r="H156" s="5" t="s">
        <v>143</v>
      </c>
      <c r="I156" s="5" t="str">
        <f t="shared" si="0"/>
        <v>0826VC105020L2125P</v>
      </c>
    </row>
    <row r="157" spans="2:9" ht="15.75" customHeight="1">
      <c r="B157" s="5" t="s">
        <v>37</v>
      </c>
      <c r="C157" s="5">
        <v>18</v>
      </c>
      <c r="D157" s="5" t="s">
        <v>442</v>
      </c>
      <c r="E157" s="5">
        <v>30</v>
      </c>
      <c r="F157" s="5">
        <v>40</v>
      </c>
      <c r="G157" s="5">
        <v>0.63</v>
      </c>
      <c r="H157" s="5" t="s">
        <v>146</v>
      </c>
      <c r="I157" s="5" t="str">
        <f t="shared" si="0"/>
        <v>0826VC105020L2630P</v>
      </c>
    </row>
    <row r="158" spans="2:9" ht="15.75" customHeight="1">
      <c r="B158" s="5" t="s">
        <v>40</v>
      </c>
      <c r="C158" s="5">
        <v>18</v>
      </c>
      <c r="D158" s="5" t="s">
        <v>443</v>
      </c>
      <c r="E158" s="5">
        <v>30</v>
      </c>
      <c r="F158" s="5">
        <v>47</v>
      </c>
      <c r="G158" s="5">
        <v>0.63</v>
      </c>
      <c r="H158" s="5" t="s">
        <v>152</v>
      </c>
      <c r="I158" s="5" t="str">
        <f t="shared" si="0"/>
        <v>0826VC105020L3140P</v>
      </c>
    </row>
    <row r="159" spans="2:9" ht="15.75" customHeight="1">
      <c r="B159" s="5" t="s">
        <v>41</v>
      </c>
      <c r="C159" s="5">
        <v>18</v>
      </c>
      <c r="D159" s="5" t="s">
        <v>444</v>
      </c>
      <c r="E159" s="5">
        <v>30</v>
      </c>
      <c r="F159" s="5">
        <v>64</v>
      </c>
      <c r="G159" s="5">
        <v>0.63</v>
      </c>
      <c r="H159" s="5" t="s">
        <v>155</v>
      </c>
      <c r="I159" s="5" t="str">
        <f t="shared" si="0"/>
        <v>0826VC105020L4150P</v>
      </c>
    </row>
    <row r="160" spans="2:9" ht="15.75" customHeight="1">
      <c r="B160" s="5" t="s">
        <v>42</v>
      </c>
      <c r="C160" s="5">
        <v>18</v>
      </c>
      <c r="D160" s="5" t="s">
        <v>445</v>
      </c>
      <c r="E160" s="5">
        <v>30</v>
      </c>
      <c r="F160" s="5">
        <v>78</v>
      </c>
      <c r="G160" s="5">
        <v>0.63</v>
      </c>
      <c r="H160" s="5" t="s">
        <v>158</v>
      </c>
      <c r="I160" s="5" t="str">
        <f t="shared" si="0"/>
        <v>0826VC105020L5160P</v>
      </c>
    </row>
    <row r="161" spans="2:9" ht="15.75" customHeight="1">
      <c r="B161" s="5" t="s">
        <v>43</v>
      </c>
      <c r="C161" s="5">
        <v>18</v>
      </c>
      <c r="D161" s="5" t="s">
        <v>446</v>
      </c>
      <c r="E161" s="5">
        <v>30</v>
      </c>
      <c r="F161" s="5">
        <v>85</v>
      </c>
      <c r="G161" s="5">
        <v>0.63</v>
      </c>
      <c r="H161" s="5" t="s">
        <v>161</v>
      </c>
      <c r="I161" s="5" t="str">
        <f t="shared" si="0"/>
        <v>0826VC105020L6170P</v>
      </c>
    </row>
    <row r="162" spans="2:9" ht="15.75" customHeight="1">
      <c r="B162" s="5" t="s">
        <v>447</v>
      </c>
      <c r="C162" s="5">
        <v>18</v>
      </c>
      <c r="D162" s="5" t="s">
        <v>448</v>
      </c>
      <c r="E162" s="5">
        <v>30</v>
      </c>
      <c r="F162" s="5">
        <v>110</v>
      </c>
      <c r="G162" s="5">
        <v>0.63</v>
      </c>
      <c r="H162" s="5" t="s">
        <v>210</v>
      </c>
      <c r="I162" s="5" t="e">
        <f t="shared" si="0"/>
        <v>#N/A</v>
      </c>
    </row>
    <row r="163" spans="2:9" ht="15.75" customHeight="1">
      <c r="B163" s="5" t="s">
        <v>449</v>
      </c>
      <c r="C163" s="5">
        <v>18</v>
      </c>
      <c r="D163" s="5" t="s">
        <v>450</v>
      </c>
      <c r="E163" s="5">
        <v>32</v>
      </c>
      <c r="F163" s="5">
        <v>210</v>
      </c>
      <c r="G163" s="5">
        <v>0.63</v>
      </c>
      <c r="H163" s="5" t="s">
        <v>451</v>
      </c>
      <c r="I163" s="5" t="e">
        <f t="shared" si="0"/>
        <v>#N/A</v>
      </c>
    </row>
    <row r="164" spans="2:9" ht="15.75" customHeight="1">
      <c r="B164" s="5" t="s">
        <v>34</v>
      </c>
      <c r="C164" s="5">
        <v>18</v>
      </c>
      <c r="D164" s="5" t="s">
        <v>452</v>
      </c>
      <c r="E164" s="5">
        <v>30</v>
      </c>
      <c r="F164" s="5">
        <v>27</v>
      </c>
      <c r="G164" s="5">
        <v>0.63</v>
      </c>
      <c r="H164" s="5" t="s">
        <v>140</v>
      </c>
      <c r="I164" s="5" t="str">
        <f t="shared" si="0"/>
        <v>0825GC105020L1620P</v>
      </c>
    </row>
    <row r="165" spans="2:9" ht="15.75" customHeight="1">
      <c r="B165" s="5" t="s">
        <v>36</v>
      </c>
      <c r="C165" s="5">
        <v>18</v>
      </c>
      <c r="D165" s="5" t="s">
        <v>453</v>
      </c>
      <c r="E165" s="5">
        <v>30</v>
      </c>
      <c r="F165" s="5">
        <v>34</v>
      </c>
      <c r="G165" s="5">
        <v>0.63</v>
      </c>
      <c r="H165" s="5" t="s">
        <v>143</v>
      </c>
      <c r="I165" s="5" t="str">
        <f t="shared" si="0"/>
        <v>0825GC105020L2125P</v>
      </c>
    </row>
    <row r="166" spans="2:9" ht="15.75" customHeight="1">
      <c r="B166" s="5" t="s">
        <v>38</v>
      </c>
      <c r="C166" s="5">
        <v>18</v>
      </c>
      <c r="D166" s="5" t="s">
        <v>454</v>
      </c>
      <c r="E166" s="5">
        <v>30</v>
      </c>
      <c r="F166" s="5">
        <v>41</v>
      </c>
      <c r="G166" s="5">
        <v>0.63</v>
      </c>
      <c r="H166" s="5" t="s">
        <v>146</v>
      </c>
      <c r="I166" s="5" t="str">
        <f t="shared" si="0"/>
        <v>0825GC105020L2630P</v>
      </c>
    </row>
    <row r="167" spans="2:9" ht="15.75" customHeight="1">
      <c r="B167" s="5" t="s">
        <v>455</v>
      </c>
      <c r="C167" s="5">
        <v>18</v>
      </c>
      <c r="D167" s="5" t="s">
        <v>456</v>
      </c>
      <c r="E167" s="5">
        <v>30</v>
      </c>
      <c r="F167" s="5">
        <v>48</v>
      </c>
      <c r="G167" s="5">
        <v>0.65</v>
      </c>
      <c r="H167" s="5" t="s">
        <v>152</v>
      </c>
      <c r="I167" s="5" t="e">
        <f t="shared" si="0"/>
        <v>#N/A</v>
      </c>
    </row>
    <row r="168" spans="2:9" ht="15.75" customHeight="1">
      <c r="B168" s="5" t="s">
        <v>457</v>
      </c>
      <c r="C168" s="5">
        <v>18</v>
      </c>
      <c r="D168" s="5" t="s">
        <v>458</v>
      </c>
      <c r="E168" s="5">
        <v>30</v>
      </c>
      <c r="F168" s="5">
        <v>64</v>
      </c>
      <c r="G168" s="5">
        <v>0.65</v>
      </c>
      <c r="H168" s="5" t="s">
        <v>155</v>
      </c>
      <c r="I168" s="5" t="e">
        <f t="shared" si="0"/>
        <v>#N/A</v>
      </c>
    </row>
    <row r="169" spans="2:9" ht="15.75" customHeight="1">
      <c r="B169" s="5" t="s">
        <v>459</v>
      </c>
      <c r="C169" s="5">
        <v>18</v>
      </c>
      <c r="D169" s="5" t="s">
        <v>460</v>
      </c>
      <c r="E169" s="5">
        <v>30</v>
      </c>
      <c r="F169" s="5">
        <v>84</v>
      </c>
      <c r="G169" s="5">
        <v>0.65</v>
      </c>
      <c r="H169" s="5" t="s">
        <v>158</v>
      </c>
      <c r="I169" s="5" t="e">
        <f t="shared" si="0"/>
        <v>#N/A</v>
      </c>
    </row>
    <row r="170" spans="2:9" ht="15.75" customHeight="1">
      <c r="B170" s="5" t="s">
        <v>461</v>
      </c>
      <c r="C170" s="5">
        <v>18</v>
      </c>
      <c r="D170" s="5" t="s">
        <v>462</v>
      </c>
      <c r="E170" s="5">
        <v>37</v>
      </c>
      <c r="F170" s="160">
        <v>21</v>
      </c>
      <c r="G170" s="161">
        <v>0.9</v>
      </c>
      <c r="H170" s="159" t="s">
        <v>189</v>
      </c>
      <c r="I170" s="5" t="e">
        <f t="shared" si="0"/>
        <v>#N/A</v>
      </c>
    </row>
    <row r="171" spans="2:9" ht="15.75" customHeight="1">
      <c r="B171" s="5" t="s">
        <v>463</v>
      </c>
      <c r="C171" s="5">
        <v>18</v>
      </c>
      <c r="D171" s="5" t="s">
        <v>464</v>
      </c>
      <c r="E171" s="5">
        <v>38</v>
      </c>
      <c r="F171" s="160">
        <v>29</v>
      </c>
      <c r="G171" s="161">
        <v>0.9</v>
      </c>
      <c r="H171" s="5" t="s">
        <v>137</v>
      </c>
      <c r="I171" s="5" t="e">
        <f t="shared" si="0"/>
        <v>#N/A</v>
      </c>
    </row>
    <row r="172" spans="2:9" ht="15.75" customHeight="1">
      <c r="B172" s="5" t="s">
        <v>465</v>
      </c>
      <c r="C172" s="5">
        <v>18</v>
      </c>
      <c r="D172" s="5" t="s">
        <v>466</v>
      </c>
      <c r="E172" s="5">
        <v>38</v>
      </c>
      <c r="F172" s="160">
        <v>37</v>
      </c>
      <c r="G172" s="161">
        <v>0.9</v>
      </c>
      <c r="H172" s="5" t="s">
        <v>140</v>
      </c>
      <c r="I172" s="5" t="e">
        <f t="shared" si="0"/>
        <v>#N/A</v>
      </c>
    </row>
    <row r="173" spans="2:9" ht="15.75" customHeight="1">
      <c r="B173" s="5" t="s">
        <v>467</v>
      </c>
      <c r="C173" s="5">
        <v>18</v>
      </c>
      <c r="D173" s="5" t="s">
        <v>468</v>
      </c>
      <c r="E173" s="5">
        <v>38</v>
      </c>
      <c r="F173" s="160">
        <v>47</v>
      </c>
      <c r="G173" s="161">
        <v>0.9</v>
      </c>
      <c r="H173" s="5" t="s">
        <v>143</v>
      </c>
      <c r="I173" s="5" t="e">
        <f t="shared" si="0"/>
        <v>#N/A</v>
      </c>
    </row>
    <row r="174" spans="2:9" ht="15.75" customHeight="1">
      <c r="B174" s="5" t="s">
        <v>469</v>
      </c>
      <c r="C174" s="5">
        <v>18</v>
      </c>
      <c r="D174" s="5" t="s">
        <v>470</v>
      </c>
      <c r="E174" s="5">
        <v>38</v>
      </c>
      <c r="F174" s="160">
        <v>56</v>
      </c>
      <c r="G174" s="161">
        <v>0.9</v>
      </c>
      <c r="H174" s="5" t="s">
        <v>146</v>
      </c>
      <c r="I174" s="5" t="e">
        <f t="shared" si="0"/>
        <v>#N/A</v>
      </c>
    </row>
    <row r="175" spans="2:9" ht="15.75" customHeight="1">
      <c r="B175" s="5" t="s">
        <v>471</v>
      </c>
      <c r="C175" s="5">
        <v>18</v>
      </c>
      <c r="D175" s="5" t="s">
        <v>472</v>
      </c>
      <c r="E175" s="5">
        <v>38</v>
      </c>
      <c r="F175" s="160">
        <v>66</v>
      </c>
      <c r="G175" s="161">
        <v>0.9</v>
      </c>
      <c r="H175" s="5" t="s">
        <v>149</v>
      </c>
      <c r="I175" s="5" t="e">
        <f t="shared" si="0"/>
        <v>#N/A</v>
      </c>
    </row>
    <row r="176" spans="2:9" ht="15.75" customHeight="1">
      <c r="B176" s="5" t="s">
        <v>473</v>
      </c>
      <c r="C176" s="5">
        <v>18</v>
      </c>
      <c r="D176" s="5" t="s">
        <v>474</v>
      </c>
      <c r="E176" s="5">
        <v>38</v>
      </c>
      <c r="F176" s="160">
        <v>71</v>
      </c>
      <c r="G176" s="161">
        <v>0.9</v>
      </c>
      <c r="H176" s="5" t="s">
        <v>152</v>
      </c>
      <c r="I176" s="5" t="e">
        <f t="shared" si="0"/>
        <v>#N/A</v>
      </c>
    </row>
    <row r="177" spans="2:9" ht="15.75" customHeight="1">
      <c r="B177" s="5" t="s">
        <v>475</v>
      </c>
      <c r="C177" s="5">
        <v>18</v>
      </c>
      <c r="D177" s="5" t="s">
        <v>476</v>
      </c>
      <c r="E177" s="5">
        <v>38</v>
      </c>
      <c r="F177" s="160">
        <v>92</v>
      </c>
      <c r="G177" s="161">
        <v>0.9</v>
      </c>
      <c r="H177" s="5" t="s">
        <v>155</v>
      </c>
      <c r="I177" s="5" t="e">
        <f t="shared" si="0"/>
        <v>#N/A</v>
      </c>
    </row>
    <row r="178" spans="2:9" ht="15.75" customHeight="1">
      <c r="B178" s="5" t="s">
        <v>477</v>
      </c>
      <c r="C178" s="5">
        <v>18</v>
      </c>
      <c r="D178" s="5" t="s">
        <v>478</v>
      </c>
      <c r="E178" s="5">
        <v>38</v>
      </c>
      <c r="F178" s="160">
        <v>112</v>
      </c>
      <c r="G178" s="161">
        <v>0.9</v>
      </c>
      <c r="H178" s="5" t="s">
        <v>158</v>
      </c>
      <c r="I178" s="5" t="e">
        <f t="shared" si="0"/>
        <v>#N/A</v>
      </c>
    </row>
    <row r="179" spans="2:9" ht="15.75" customHeight="1">
      <c r="B179" s="5" t="s">
        <v>479</v>
      </c>
      <c r="C179" s="5">
        <v>18</v>
      </c>
      <c r="D179" s="5" t="s">
        <v>480</v>
      </c>
      <c r="E179" s="5">
        <v>38</v>
      </c>
      <c r="F179" s="160">
        <v>132</v>
      </c>
      <c r="G179" s="161">
        <v>0.9</v>
      </c>
      <c r="H179" s="5" t="s">
        <v>161</v>
      </c>
      <c r="I179" s="5" t="e">
        <f t="shared" si="0"/>
        <v>#N/A</v>
      </c>
    </row>
    <row r="180" spans="2:9" ht="15.75" customHeight="1">
      <c r="B180" s="5" t="s">
        <v>481</v>
      </c>
      <c r="C180" s="5">
        <v>18</v>
      </c>
      <c r="D180" s="5" t="s">
        <v>482</v>
      </c>
      <c r="E180" s="5">
        <v>38</v>
      </c>
      <c r="F180" s="160">
        <v>161</v>
      </c>
      <c r="G180" s="161">
        <v>0.9</v>
      </c>
      <c r="H180" s="5" t="s">
        <v>210</v>
      </c>
      <c r="I180" s="5" t="e">
        <f t="shared" si="0"/>
        <v>#N/A</v>
      </c>
    </row>
    <row r="181" spans="2:9" ht="15.75" customHeight="1">
      <c r="B181" s="5" t="s">
        <v>483</v>
      </c>
      <c r="C181" s="5">
        <v>18</v>
      </c>
      <c r="D181" s="5" t="s">
        <v>484</v>
      </c>
      <c r="E181" s="5">
        <v>32</v>
      </c>
      <c r="F181" s="160">
        <v>16</v>
      </c>
      <c r="G181" s="161">
        <v>0.67</v>
      </c>
      <c r="H181" s="5" t="s">
        <v>134</v>
      </c>
      <c r="I181" s="5" t="e">
        <f t="shared" si="0"/>
        <v>#N/A</v>
      </c>
    </row>
    <row r="182" spans="2:9" ht="15.75" customHeight="1">
      <c r="B182" s="5" t="s">
        <v>485</v>
      </c>
      <c r="C182" s="5">
        <v>18</v>
      </c>
      <c r="D182" s="5" t="s">
        <v>486</v>
      </c>
      <c r="E182" s="5">
        <v>33</v>
      </c>
      <c r="F182" s="160">
        <v>22</v>
      </c>
      <c r="G182" s="161">
        <v>0.67</v>
      </c>
      <c r="H182" s="5" t="s">
        <v>137</v>
      </c>
      <c r="I182" s="5" t="e">
        <f t="shared" si="0"/>
        <v>#N/A</v>
      </c>
    </row>
    <row r="183" spans="2:9" ht="15.75" customHeight="1">
      <c r="B183" s="5" t="s">
        <v>487</v>
      </c>
      <c r="C183" s="5">
        <v>18</v>
      </c>
      <c r="D183" s="5" t="s">
        <v>488</v>
      </c>
      <c r="E183" s="5">
        <v>33</v>
      </c>
      <c r="F183" s="160">
        <v>28</v>
      </c>
      <c r="G183" s="161">
        <v>0.67</v>
      </c>
      <c r="H183" s="5" t="s">
        <v>140</v>
      </c>
      <c r="I183" s="5" t="e">
        <f t="shared" si="0"/>
        <v>#N/A</v>
      </c>
    </row>
    <row r="184" spans="2:9" ht="15.75" customHeight="1">
      <c r="B184" s="5" t="s">
        <v>489</v>
      </c>
      <c r="C184" s="5">
        <v>18</v>
      </c>
      <c r="D184" s="5" t="s">
        <v>490</v>
      </c>
      <c r="E184" s="5">
        <v>33</v>
      </c>
      <c r="F184" s="160">
        <v>35</v>
      </c>
      <c r="G184" s="161">
        <v>0.67</v>
      </c>
      <c r="H184" s="5" t="s">
        <v>143</v>
      </c>
      <c r="I184" s="5" t="e">
        <f t="shared" si="0"/>
        <v>#N/A</v>
      </c>
    </row>
    <row r="185" spans="2:9" ht="15.75" customHeight="1">
      <c r="B185" s="5" t="s">
        <v>491</v>
      </c>
      <c r="C185" s="5">
        <v>18</v>
      </c>
      <c r="D185" s="5" t="s">
        <v>492</v>
      </c>
      <c r="E185" s="5">
        <v>33</v>
      </c>
      <c r="F185" s="160">
        <v>42</v>
      </c>
      <c r="G185" s="161">
        <v>0.67</v>
      </c>
      <c r="H185" s="5" t="s">
        <v>146</v>
      </c>
      <c r="I185" s="5" t="e">
        <f t="shared" si="0"/>
        <v>#N/A</v>
      </c>
    </row>
    <row r="186" spans="2:9" ht="15.75" customHeight="1">
      <c r="B186" s="5" t="s">
        <v>493</v>
      </c>
      <c r="C186" s="5">
        <v>18</v>
      </c>
      <c r="D186" s="5" t="s">
        <v>494</v>
      </c>
      <c r="E186" s="5">
        <v>33</v>
      </c>
      <c r="F186" s="160">
        <v>51</v>
      </c>
      <c r="G186" s="161">
        <v>0.67</v>
      </c>
      <c r="H186" s="5" t="s">
        <v>149</v>
      </c>
      <c r="I186" s="5" t="e">
        <f t="shared" si="0"/>
        <v>#N/A</v>
      </c>
    </row>
    <row r="187" spans="2:9" ht="15.75" customHeight="1">
      <c r="B187" s="5" t="s">
        <v>495</v>
      </c>
      <c r="C187" s="5">
        <v>18</v>
      </c>
      <c r="D187" s="5" t="s">
        <v>496</v>
      </c>
      <c r="E187" s="5">
        <v>33</v>
      </c>
      <c r="F187" s="160">
        <v>54</v>
      </c>
      <c r="G187" s="161">
        <v>0.67</v>
      </c>
      <c r="H187" s="5" t="s">
        <v>152</v>
      </c>
      <c r="I187" s="5" t="e">
        <f t="shared" si="0"/>
        <v>#N/A</v>
      </c>
    </row>
    <row r="188" spans="2:9" ht="15.75" customHeight="1">
      <c r="B188" s="5" t="s">
        <v>497</v>
      </c>
      <c r="C188" s="5">
        <v>18</v>
      </c>
      <c r="D188" s="5" t="s">
        <v>498</v>
      </c>
      <c r="E188" s="5">
        <v>33</v>
      </c>
      <c r="F188" s="160">
        <v>69</v>
      </c>
      <c r="G188" s="161">
        <v>0.67</v>
      </c>
      <c r="H188" s="5" t="s">
        <v>155</v>
      </c>
      <c r="I188" s="5" t="e">
        <f t="shared" si="0"/>
        <v>#N/A</v>
      </c>
    </row>
    <row r="189" spans="2:9" ht="15.75" customHeight="1">
      <c r="B189" s="5" t="s">
        <v>499</v>
      </c>
      <c r="C189" s="5">
        <v>18</v>
      </c>
      <c r="D189" s="5" t="s">
        <v>500</v>
      </c>
      <c r="E189" s="5">
        <v>33</v>
      </c>
      <c r="F189" s="160">
        <v>84</v>
      </c>
      <c r="G189" s="161">
        <v>0.67</v>
      </c>
      <c r="H189" s="5" t="s">
        <v>158</v>
      </c>
      <c r="I189" s="5" t="e">
        <f t="shared" si="0"/>
        <v>#N/A</v>
      </c>
    </row>
    <row r="190" spans="2:9" ht="15.75" customHeight="1">
      <c r="B190" s="5" t="s">
        <v>501</v>
      </c>
      <c r="C190" s="5">
        <v>18</v>
      </c>
      <c r="D190" s="5" t="s">
        <v>502</v>
      </c>
      <c r="E190" s="5">
        <v>33</v>
      </c>
      <c r="F190" s="160">
        <v>99</v>
      </c>
      <c r="G190" s="161">
        <v>0.67</v>
      </c>
      <c r="H190" s="5" t="s">
        <v>161</v>
      </c>
      <c r="I190" s="5" t="e">
        <f t="shared" si="0"/>
        <v>#N/A</v>
      </c>
    </row>
    <row r="191" spans="2:9" ht="15.75" customHeight="1">
      <c r="B191" s="5" t="s">
        <v>503</v>
      </c>
      <c r="C191" s="5">
        <v>18</v>
      </c>
      <c r="D191" s="5" t="s">
        <v>504</v>
      </c>
      <c r="E191" s="5">
        <v>31</v>
      </c>
      <c r="F191" s="160">
        <v>16</v>
      </c>
      <c r="G191" s="162">
        <v>0.67500000000000004</v>
      </c>
      <c r="H191" s="5" t="s">
        <v>134</v>
      </c>
      <c r="I191" s="5" t="e">
        <f t="shared" si="0"/>
        <v>#N/A</v>
      </c>
    </row>
    <row r="192" spans="2:9" ht="15.75" customHeight="1">
      <c r="B192" s="5" t="s">
        <v>505</v>
      </c>
      <c r="C192" s="5">
        <v>18</v>
      </c>
      <c r="D192" s="5" t="s">
        <v>506</v>
      </c>
      <c r="E192" s="5">
        <v>32</v>
      </c>
      <c r="F192" s="160">
        <v>22</v>
      </c>
      <c r="G192" s="162">
        <v>0.67500000000000004</v>
      </c>
      <c r="H192" s="5" t="s">
        <v>137</v>
      </c>
      <c r="I192" s="5" t="e">
        <f t="shared" si="0"/>
        <v>#N/A</v>
      </c>
    </row>
    <row r="193" spans="2:9" ht="15.75" customHeight="1">
      <c r="B193" s="5" t="s">
        <v>507</v>
      </c>
      <c r="C193" s="5">
        <v>18</v>
      </c>
      <c r="D193" s="5" t="s">
        <v>508</v>
      </c>
      <c r="E193" s="5">
        <v>32</v>
      </c>
      <c r="F193" s="160">
        <v>28</v>
      </c>
      <c r="G193" s="162">
        <v>0.67500000000000004</v>
      </c>
      <c r="H193" s="5" t="s">
        <v>140</v>
      </c>
      <c r="I193" s="5" t="e">
        <f t="shared" si="0"/>
        <v>#N/A</v>
      </c>
    </row>
    <row r="194" spans="2:9" ht="15.75" customHeight="1">
      <c r="B194" s="5" t="s">
        <v>509</v>
      </c>
      <c r="C194" s="5">
        <v>18</v>
      </c>
      <c r="D194" s="5" t="s">
        <v>510</v>
      </c>
      <c r="E194" s="5">
        <v>32</v>
      </c>
      <c r="F194" s="160">
        <v>35</v>
      </c>
      <c r="G194" s="163">
        <v>0.67</v>
      </c>
      <c r="H194" s="5" t="s">
        <v>143</v>
      </c>
      <c r="I194" s="5" t="e">
        <f t="shared" si="0"/>
        <v>#N/A</v>
      </c>
    </row>
    <row r="195" spans="2:9" ht="15.75" customHeight="1">
      <c r="B195" s="5" t="s">
        <v>511</v>
      </c>
      <c r="C195" s="5">
        <v>18</v>
      </c>
      <c r="D195" s="5" t="s">
        <v>512</v>
      </c>
      <c r="E195" s="5">
        <v>32</v>
      </c>
      <c r="F195" s="160">
        <v>42</v>
      </c>
      <c r="G195" s="163">
        <v>0.67</v>
      </c>
      <c r="H195" s="5" t="s">
        <v>146</v>
      </c>
      <c r="I195" s="5" t="e">
        <f t="shared" si="0"/>
        <v>#N/A</v>
      </c>
    </row>
    <row r="196" spans="2:9" ht="15.75" customHeight="1">
      <c r="B196" s="5" t="s">
        <v>513</v>
      </c>
      <c r="C196" s="5">
        <v>18</v>
      </c>
      <c r="D196" s="5" t="s">
        <v>514</v>
      </c>
      <c r="E196" s="5">
        <v>32</v>
      </c>
      <c r="F196" s="160">
        <v>50</v>
      </c>
      <c r="G196" s="163">
        <v>0.67</v>
      </c>
      <c r="H196" s="5" t="s">
        <v>149</v>
      </c>
      <c r="I196" s="5" t="e">
        <f t="shared" si="0"/>
        <v>#N/A</v>
      </c>
    </row>
    <row r="197" spans="2:9" ht="15.75" customHeight="1">
      <c r="B197" s="5" t="s">
        <v>515</v>
      </c>
      <c r="C197" s="5">
        <v>18</v>
      </c>
      <c r="D197" s="5" t="s">
        <v>516</v>
      </c>
      <c r="E197" s="5">
        <v>32</v>
      </c>
      <c r="F197" s="160">
        <v>53</v>
      </c>
      <c r="G197" s="162">
        <v>0.66500000000000004</v>
      </c>
      <c r="H197" s="5" t="s">
        <v>152</v>
      </c>
      <c r="I197" s="5" t="e">
        <f t="shared" si="0"/>
        <v>#N/A</v>
      </c>
    </row>
    <row r="198" spans="2:9" ht="15.75" customHeight="1">
      <c r="B198" s="5" t="s">
        <v>517</v>
      </c>
      <c r="C198" s="5">
        <v>18</v>
      </c>
      <c r="D198" s="5" t="s">
        <v>518</v>
      </c>
      <c r="E198" s="5">
        <v>32</v>
      </c>
      <c r="F198" s="160">
        <v>68</v>
      </c>
      <c r="G198" s="162">
        <v>0.66500000000000004</v>
      </c>
      <c r="H198" s="5" t="s">
        <v>155</v>
      </c>
      <c r="I198" s="5" t="e">
        <f t="shared" si="0"/>
        <v>#N/A</v>
      </c>
    </row>
    <row r="199" spans="2:9" ht="15.75" customHeight="1">
      <c r="B199" s="5" t="s">
        <v>519</v>
      </c>
      <c r="C199" s="5">
        <v>18</v>
      </c>
      <c r="D199" s="5" t="s">
        <v>520</v>
      </c>
      <c r="E199" s="5">
        <v>32</v>
      </c>
      <c r="F199" s="160">
        <v>82</v>
      </c>
      <c r="G199" s="162">
        <v>0.66500000000000004</v>
      </c>
      <c r="H199" s="5" t="s">
        <v>158</v>
      </c>
      <c r="I199" s="5" t="e">
        <f t="shared" si="0"/>
        <v>#N/A</v>
      </c>
    </row>
    <row r="200" spans="2:9" ht="15.75" customHeight="1">
      <c r="B200" s="5" t="s">
        <v>521</v>
      </c>
      <c r="C200" s="5">
        <v>18</v>
      </c>
      <c r="D200" s="5" t="s">
        <v>522</v>
      </c>
      <c r="E200" s="5">
        <v>32</v>
      </c>
      <c r="F200" s="160">
        <v>97</v>
      </c>
      <c r="G200" s="162">
        <v>0.66500000000000004</v>
      </c>
      <c r="H200" s="5" t="s">
        <v>161</v>
      </c>
      <c r="I200" s="5" t="e">
        <f t="shared" si="0"/>
        <v>#N/A</v>
      </c>
    </row>
    <row r="201" spans="2:9" ht="15.75" customHeight="1">
      <c r="B201" s="5" t="s">
        <v>523</v>
      </c>
      <c r="C201" s="5">
        <v>18</v>
      </c>
      <c r="D201" s="5" t="s">
        <v>524</v>
      </c>
      <c r="E201" s="5">
        <v>32</v>
      </c>
      <c r="F201" s="160">
        <v>119</v>
      </c>
      <c r="G201" s="162">
        <v>0.66500000000000004</v>
      </c>
      <c r="H201" s="5" t="s">
        <v>210</v>
      </c>
      <c r="I201" s="5" t="e">
        <f t="shared" si="0"/>
        <v>#N/A</v>
      </c>
    </row>
    <row r="202" spans="2:9" ht="15.75" customHeight="1">
      <c r="B202" s="5" t="s">
        <v>525</v>
      </c>
      <c r="C202" s="5">
        <v>18</v>
      </c>
      <c r="D202" s="5" t="s">
        <v>526</v>
      </c>
      <c r="E202" s="5">
        <v>36</v>
      </c>
      <c r="F202" s="160">
        <v>71</v>
      </c>
      <c r="G202" s="162">
        <v>0.97</v>
      </c>
      <c r="H202" s="5" t="s">
        <v>149</v>
      </c>
      <c r="I202" s="5" t="e">
        <f t="shared" si="0"/>
        <v>#N/A</v>
      </c>
    </row>
    <row r="203" spans="2:9" ht="15.75" customHeight="1">
      <c r="B203" s="5" t="s">
        <v>527</v>
      </c>
      <c r="C203" s="5">
        <v>18</v>
      </c>
      <c r="D203" s="5" t="s">
        <v>528</v>
      </c>
      <c r="E203" s="5">
        <v>36</v>
      </c>
      <c r="F203" s="160">
        <v>74</v>
      </c>
      <c r="G203" s="162">
        <v>1</v>
      </c>
      <c r="H203" s="5" t="s">
        <v>149</v>
      </c>
      <c r="I203" s="5" t="e">
        <f t="shared" si="0"/>
        <v>#N/A</v>
      </c>
    </row>
    <row r="204" spans="2:9" ht="15.75" customHeight="1">
      <c r="B204" s="5" t="s">
        <v>529</v>
      </c>
      <c r="C204" s="5">
        <v>18</v>
      </c>
      <c r="D204" s="5" t="s">
        <v>530</v>
      </c>
      <c r="E204" s="5">
        <v>30</v>
      </c>
      <c r="F204" s="160">
        <v>17</v>
      </c>
      <c r="G204" s="162">
        <v>0.72</v>
      </c>
      <c r="H204" s="5" t="s">
        <v>134</v>
      </c>
      <c r="I204" s="5" t="e">
        <f t="shared" si="0"/>
        <v>#N/A</v>
      </c>
    </row>
    <row r="205" spans="2:9" ht="15.75" customHeight="1">
      <c r="B205" s="5" t="s">
        <v>531</v>
      </c>
      <c r="C205" s="5">
        <v>18</v>
      </c>
      <c r="D205" s="5" t="s">
        <v>532</v>
      </c>
      <c r="E205" s="5">
        <v>31</v>
      </c>
      <c r="F205" s="160">
        <v>23</v>
      </c>
      <c r="G205" s="162">
        <v>0.72</v>
      </c>
      <c r="H205" s="5" t="s">
        <v>137</v>
      </c>
      <c r="I205" s="5" t="e">
        <f t="shared" si="0"/>
        <v>#N/A</v>
      </c>
    </row>
    <row r="206" spans="2:9" ht="15.75" customHeight="1">
      <c r="B206" s="5" t="s">
        <v>533</v>
      </c>
      <c r="C206" s="5">
        <v>18</v>
      </c>
      <c r="D206" s="5" t="s">
        <v>534</v>
      </c>
      <c r="E206" s="5">
        <v>31</v>
      </c>
      <c r="F206" s="160">
        <v>31</v>
      </c>
      <c r="G206" s="162">
        <v>0.72</v>
      </c>
      <c r="H206" s="5" t="s">
        <v>140</v>
      </c>
      <c r="I206" s="5" t="e">
        <f t="shared" si="0"/>
        <v>#N/A</v>
      </c>
    </row>
    <row r="207" spans="2:9" ht="15.75" customHeight="1">
      <c r="B207" s="5" t="s">
        <v>535</v>
      </c>
      <c r="C207" s="5">
        <v>18</v>
      </c>
      <c r="D207" s="5" t="s">
        <v>536</v>
      </c>
      <c r="E207" s="5">
        <v>31</v>
      </c>
      <c r="F207" s="160">
        <v>38</v>
      </c>
      <c r="G207" s="162">
        <v>0.72</v>
      </c>
      <c r="H207" s="5" t="s">
        <v>143</v>
      </c>
      <c r="I207" s="5" t="e">
        <f t="shared" si="0"/>
        <v>#N/A</v>
      </c>
    </row>
    <row r="208" spans="2:9" ht="15.75" customHeight="1">
      <c r="B208" s="5" t="s">
        <v>537</v>
      </c>
      <c r="C208" s="5">
        <v>18</v>
      </c>
      <c r="D208" s="5" t="s">
        <v>538</v>
      </c>
      <c r="E208" s="5">
        <v>31</v>
      </c>
      <c r="F208" s="160">
        <v>46</v>
      </c>
      <c r="G208" s="162">
        <v>0.72</v>
      </c>
      <c r="H208" s="5" t="s">
        <v>146</v>
      </c>
      <c r="I208" s="5" t="e">
        <f t="shared" si="0"/>
        <v>#N/A</v>
      </c>
    </row>
    <row r="209" spans="2:9" ht="15.75" customHeight="1">
      <c r="B209" s="5" t="s">
        <v>539</v>
      </c>
      <c r="C209" s="5">
        <v>18</v>
      </c>
      <c r="D209" s="5" t="s">
        <v>540</v>
      </c>
      <c r="E209" s="5">
        <v>31</v>
      </c>
      <c r="F209" s="160">
        <v>54</v>
      </c>
      <c r="G209" s="162">
        <v>0.72</v>
      </c>
      <c r="H209" s="5" t="s">
        <v>149</v>
      </c>
      <c r="I209" s="5" t="e">
        <f t="shared" si="0"/>
        <v>#N/A</v>
      </c>
    </row>
    <row r="210" spans="2:9" ht="15.75" customHeight="1">
      <c r="B210" s="5" t="s">
        <v>541</v>
      </c>
      <c r="C210" s="5">
        <v>18</v>
      </c>
      <c r="D210" s="5" t="s">
        <v>542</v>
      </c>
      <c r="E210" s="5">
        <v>31</v>
      </c>
      <c r="F210" s="160">
        <v>58</v>
      </c>
      <c r="G210" s="162">
        <v>0.72</v>
      </c>
      <c r="H210" s="5" t="s">
        <v>152</v>
      </c>
      <c r="I210" s="5" t="e">
        <f t="shared" si="0"/>
        <v>#N/A</v>
      </c>
    </row>
    <row r="211" spans="2:9" ht="15.75" customHeight="1">
      <c r="B211" s="5" t="s">
        <v>543</v>
      </c>
      <c r="C211" s="5">
        <v>18</v>
      </c>
      <c r="D211" s="5" t="s">
        <v>544</v>
      </c>
      <c r="E211" s="5">
        <v>31</v>
      </c>
      <c r="F211" s="160">
        <v>74</v>
      </c>
      <c r="G211" s="162">
        <v>0.72</v>
      </c>
      <c r="H211" s="5" t="s">
        <v>155</v>
      </c>
      <c r="I211" s="5" t="e">
        <f t="shared" si="0"/>
        <v>#N/A</v>
      </c>
    </row>
    <row r="212" spans="2:9" ht="15.75" customHeight="1">
      <c r="B212" s="5" t="s">
        <v>545</v>
      </c>
      <c r="C212" s="5">
        <v>18</v>
      </c>
      <c r="D212" s="5" t="s">
        <v>546</v>
      </c>
      <c r="E212" s="5">
        <v>31</v>
      </c>
      <c r="F212" s="160">
        <v>90</v>
      </c>
      <c r="G212" s="162">
        <v>0.72</v>
      </c>
      <c r="H212" s="5" t="s">
        <v>158</v>
      </c>
      <c r="I212" s="5" t="e">
        <f t="shared" si="0"/>
        <v>#N/A</v>
      </c>
    </row>
    <row r="213" spans="2:9" ht="15.75" customHeight="1">
      <c r="B213" s="5" t="s">
        <v>547</v>
      </c>
      <c r="C213" s="5">
        <v>18</v>
      </c>
      <c r="D213" s="5" t="s">
        <v>548</v>
      </c>
      <c r="E213" s="5">
        <v>31</v>
      </c>
      <c r="F213" s="160">
        <v>1060</v>
      </c>
      <c r="G213" s="162">
        <v>0.72</v>
      </c>
      <c r="H213" s="5" t="s">
        <v>161</v>
      </c>
      <c r="I213" s="5" t="e">
        <f t="shared" si="0"/>
        <v>#N/A</v>
      </c>
    </row>
    <row r="214" spans="2:9" ht="15.75" customHeight="1">
      <c r="B214" s="5" t="s">
        <v>549</v>
      </c>
      <c r="C214" s="5">
        <v>18</v>
      </c>
      <c r="D214" s="5" t="s">
        <v>550</v>
      </c>
      <c r="E214" s="5">
        <v>31</v>
      </c>
      <c r="F214" s="160">
        <v>130</v>
      </c>
      <c r="G214" s="162">
        <v>0.72</v>
      </c>
      <c r="H214" s="5" t="s">
        <v>210</v>
      </c>
      <c r="I214" s="5" t="e">
        <f t="shared" si="0"/>
        <v>#N/A</v>
      </c>
    </row>
    <row r="215" spans="2:9" ht="15.75" customHeight="1">
      <c r="B215" s="5" t="s">
        <v>551</v>
      </c>
      <c r="C215" s="5">
        <v>18</v>
      </c>
      <c r="D215" s="5" t="s">
        <v>552</v>
      </c>
      <c r="E215" s="5">
        <v>30</v>
      </c>
      <c r="F215" s="160">
        <v>50</v>
      </c>
      <c r="G215" s="162">
        <v>0.63</v>
      </c>
      <c r="H215" s="5" t="s">
        <v>152</v>
      </c>
      <c r="I215" s="5" t="e">
        <f t="shared" si="0"/>
        <v>#N/A</v>
      </c>
    </row>
    <row r="216" spans="2:9" ht="15.75" customHeight="1">
      <c r="B216" s="5" t="s">
        <v>553</v>
      </c>
      <c r="C216" s="5">
        <v>18</v>
      </c>
      <c r="D216" s="5" t="s">
        <v>554</v>
      </c>
      <c r="E216" s="5">
        <v>30</v>
      </c>
      <c r="F216" s="160">
        <v>64</v>
      </c>
      <c r="G216" s="162">
        <v>0.63</v>
      </c>
      <c r="H216" s="5" t="s">
        <v>155</v>
      </c>
      <c r="I216" s="5" t="e">
        <f t="shared" si="0"/>
        <v>#N/A</v>
      </c>
    </row>
    <row r="217" spans="2:9" ht="15.75" customHeight="1">
      <c r="B217" s="5" t="s">
        <v>555</v>
      </c>
      <c r="C217" s="5">
        <v>18</v>
      </c>
      <c r="D217" s="5" t="s">
        <v>556</v>
      </c>
      <c r="E217" s="5">
        <v>30</v>
      </c>
      <c r="F217" s="160">
        <v>78</v>
      </c>
      <c r="G217" s="162">
        <v>0.63</v>
      </c>
      <c r="H217" s="5" t="s">
        <v>158</v>
      </c>
      <c r="I217" s="5" t="e">
        <f t="shared" si="0"/>
        <v>#N/A</v>
      </c>
    </row>
    <row r="218" spans="2:9" ht="15.75" customHeight="1">
      <c r="B218" s="5" t="s">
        <v>557</v>
      </c>
      <c r="C218" s="5">
        <v>18</v>
      </c>
      <c r="D218" s="5" t="s">
        <v>558</v>
      </c>
      <c r="E218" s="5">
        <v>30</v>
      </c>
      <c r="F218" s="160">
        <v>92</v>
      </c>
      <c r="G218" s="162">
        <v>0.63</v>
      </c>
      <c r="H218" s="5" t="s">
        <v>161</v>
      </c>
      <c r="I218" s="5" t="e">
        <f t="shared" si="0"/>
        <v>#N/A</v>
      </c>
    </row>
    <row r="219" spans="2:9" ht="15.75" customHeight="1">
      <c r="B219" s="5" t="s">
        <v>559</v>
      </c>
      <c r="C219" s="5">
        <v>18</v>
      </c>
      <c r="D219" s="5" t="s">
        <v>560</v>
      </c>
      <c r="E219" s="5">
        <v>30</v>
      </c>
      <c r="F219" s="160">
        <v>113</v>
      </c>
      <c r="G219" s="162">
        <v>0.63</v>
      </c>
      <c r="H219" s="5" t="s">
        <v>210</v>
      </c>
      <c r="I219" s="5" t="e">
        <f t="shared" si="0"/>
        <v>#N/A</v>
      </c>
    </row>
    <row r="220" spans="2:9" ht="15.75" customHeight="1">
      <c r="B220" s="5" t="s">
        <v>561</v>
      </c>
      <c r="C220" s="5">
        <v>18</v>
      </c>
      <c r="D220" s="5" t="s">
        <v>562</v>
      </c>
      <c r="E220" s="5">
        <v>31</v>
      </c>
      <c r="F220" s="160">
        <v>140</v>
      </c>
      <c r="G220" s="162">
        <v>0.63</v>
      </c>
      <c r="H220" s="5" t="s">
        <v>378</v>
      </c>
      <c r="I220" s="5" t="e">
        <f t="shared" si="0"/>
        <v>#N/A</v>
      </c>
    </row>
    <row r="221" spans="2:9" ht="15.75" customHeight="1">
      <c r="B221" s="5" t="s">
        <v>563</v>
      </c>
      <c r="C221" s="5">
        <v>18</v>
      </c>
      <c r="D221" s="5" t="s">
        <v>564</v>
      </c>
      <c r="E221" s="5">
        <v>39</v>
      </c>
      <c r="F221" s="160">
        <v>22</v>
      </c>
      <c r="G221" s="162">
        <v>0.69</v>
      </c>
      <c r="H221" s="5" t="s">
        <v>137</v>
      </c>
      <c r="I221" s="5" t="e">
        <f t="shared" si="0"/>
        <v>#N/A</v>
      </c>
    </row>
    <row r="222" spans="2:9" ht="15.75" customHeight="1">
      <c r="B222" s="5" t="s">
        <v>565</v>
      </c>
      <c r="C222" s="5">
        <v>18</v>
      </c>
      <c r="D222" s="5" t="s">
        <v>566</v>
      </c>
      <c r="E222" s="5">
        <v>39</v>
      </c>
      <c r="F222" s="160">
        <v>28</v>
      </c>
      <c r="G222" s="162">
        <v>0.69</v>
      </c>
      <c r="H222" s="5" t="s">
        <v>140</v>
      </c>
      <c r="I222" s="5" t="e">
        <f t="shared" si="0"/>
        <v>#N/A</v>
      </c>
    </row>
    <row r="223" spans="2:9" ht="15.75" customHeight="1">
      <c r="B223" s="5" t="s">
        <v>567</v>
      </c>
      <c r="C223" s="5">
        <v>18</v>
      </c>
      <c r="D223" s="5" t="s">
        <v>568</v>
      </c>
      <c r="E223" s="5">
        <v>39</v>
      </c>
      <c r="F223" s="160">
        <v>36</v>
      </c>
      <c r="G223" s="162">
        <v>0.69</v>
      </c>
      <c r="H223" s="5" t="s">
        <v>143</v>
      </c>
      <c r="I223" s="5" t="e">
        <f t="shared" si="0"/>
        <v>#N/A</v>
      </c>
    </row>
    <row r="224" spans="2:9" ht="15.75" customHeight="1">
      <c r="B224" s="5" t="s">
        <v>569</v>
      </c>
      <c r="C224" s="5">
        <v>18</v>
      </c>
      <c r="D224" s="5" t="s">
        <v>570</v>
      </c>
      <c r="E224" s="5">
        <v>39</v>
      </c>
      <c r="F224" s="160">
        <v>44</v>
      </c>
      <c r="G224" s="162">
        <v>0.69</v>
      </c>
      <c r="H224" s="5" t="s">
        <v>146</v>
      </c>
      <c r="I224" s="5" t="e">
        <f t="shared" si="0"/>
        <v>#N/A</v>
      </c>
    </row>
    <row r="225" spans="2:9" ht="15.75" customHeight="1">
      <c r="B225" s="5" t="s">
        <v>571</v>
      </c>
      <c r="C225" s="5">
        <v>18</v>
      </c>
      <c r="D225" s="5" t="s">
        <v>572</v>
      </c>
      <c r="E225" s="5">
        <v>39</v>
      </c>
      <c r="F225" s="160">
        <v>51</v>
      </c>
      <c r="G225" s="162">
        <v>0.69</v>
      </c>
      <c r="H225" s="5" t="s">
        <v>149</v>
      </c>
      <c r="I225" s="5" t="e">
        <f t="shared" si="0"/>
        <v>#N/A</v>
      </c>
    </row>
    <row r="226" spans="2:9" ht="15.75" customHeight="1">
      <c r="B226" s="5" t="s">
        <v>573</v>
      </c>
      <c r="C226" s="5">
        <v>18</v>
      </c>
      <c r="D226" s="5" t="s">
        <v>574</v>
      </c>
      <c r="E226" s="5">
        <v>39</v>
      </c>
      <c r="F226" s="160">
        <v>54</v>
      </c>
      <c r="G226" s="162">
        <v>0.69</v>
      </c>
      <c r="H226" s="5" t="s">
        <v>152</v>
      </c>
      <c r="I226" s="5" t="e">
        <f t="shared" si="0"/>
        <v>#N/A</v>
      </c>
    </row>
    <row r="227" spans="2:9" ht="15.75" customHeight="1">
      <c r="B227" s="5" t="s">
        <v>575</v>
      </c>
      <c r="C227" s="5">
        <v>18</v>
      </c>
      <c r="D227" s="5" t="s">
        <v>576</v>
      </c>
      <c r="E227" s="5">
        <v>39</v>
      </c>
      <c r="F227" s="160">
        <v>68</v>
      </c>
      <c r="G227" s="162">
        <v>0.69</v>
      </c>
      <c r="H227" s="5" t="s">
        <v>155</v>
      </c>
      <c r="I227" s="5" t="e">
        <f t="shared" si="0"/>
        <v>#N/A</v>
      </c>
    </row>
    <row r="228" spans="2:9" ht="15.75" customHeight="1">
      <c r="B228" s="5" t="s">
        <v>577</v>
      </c>
      <c r="C228" s="5">
        <v>18</v>
      </c>
      <c r="D228" s="5" t="s">
        <v>578</v>
      </c>
      <c r="E228" s="5">
        <v>39</v>
      </c>
      <c r="F228" s="160">
        <v>83</v>
      </c>
      <c r="G228" s="162">
        <v>0.69</v>
      </c>
      <c r="H228" s="5" t="s">
        <v>158</v>
      </c>
      <c r="I228" s="5" t="e">
        <f t="shared" si="0"/>
        <v>#N/A</v>
      </c>
    </row>
    <row r="229" spans="2:9" ht="15.75" customHeight="1">
      <c r="B229" s="5" t="s">
        <v>579</v>
      </c>
      <c r="C229" s="5">
        <v>18</v>
      </c>
      <c r="D229" s="5" t="s">
        <v>139</v>
      </c>
      <c r="E229" s="5">
        <v>36</v>
      </c>
      <c r="F229" s="160">
        <v>27</v>
      </c>
      <c r="G229" s="162">
        <v>0.97</v>
      </c>
      <c r="H229" s="5" t="s">
        <v>140</v>
      </c>
      <c r="I229" s="5" t="e">
        <f t="shared" si="0"/>
        <v>#N/A</v>
      </c>
    </row>
    <row r="230" spans="2:9" ht="15.75" customHeight="1">
      <c r="B230" s="5" t="s">
        <v>580</v>
      </c>
      <c r="C230" s="5">
        <v>18</v>
      </c>
      <c r="D230" s="5" t="s">
        <v>145</v>
      </c>
      <c r="E230" s="5">
        <v>36</v>
      </c>
      <c r="F230" s="160">
        <v>42</v>
      </c>
      <c r="G230" s="162">
        <v>0.97</v>
      </c>
      <c r="H230" s="5" t="s">
        <v>146</v>
      </c>
      <c r="I230" s="5" t="e">
        <f t="shared" si="0"/>
        <v>#N/A</v>
      </c>
    </row>
    <row r="231" spans="2:9" ht="15.75" customHeight="1">
      <c r="B231" s="5" t="s">
        <v>581</v>
      </c>
      <c r="C231" s="5">
        <v>18</v>
      </c>
      <c r="D231" s="5" t="s">
        <v>151</v>
      </c>
      <c r="E231" s="5">
        <v>36</v>
      </c>
      <c r="F231" s="160">
        <v>53</v>
      </c>
      <c r="G231" s="162">
        <v>0.97</v>
      </c>
      <c r="H231" s="5" t="s">
        <v>152</v>
      </c>
      <c r="I231" s="5" t="e">
        <f t="shared" si="0"/>
        <v>#N/A</v>
      </c>
    </row>
    <row r="232" spans="2:9" ht="15.75" customHeight="1">
      <c r="B232" s="5" t="s">
        <v>582</v>
      </c>
      <c r="C232" s="5">
        <v>18</v>
      </c>
      <c r="D232" s="5" t="s">
        <v>154</v>
      </c>
      <c r="E232" s="5">
        <v>36</v>
      </c>
      <c r="F232" s="160">
        <v>63</v>
      </c>
      <c r="G232" s="162">
        <v>0.97</v>
      </c>
      <c r="H232" s="5" t="s">
        <v>155</v>
      </c>
      <c r="I232" s="5" t="e">
        <f t="shared" si="0"/>
        <v>#N/A</v>
      </c>
    </row>
    <row r="233" spans="2:9" ht="15.75" customHeight="1">
      <c r="B233" s="5" t="s">
        <v>583</v>
      </c>
      <c r="C233" s="5">
        <v>18</v>
      </c>
      <c r="D233" s="5" t="s">
        <v>584</v>
      </c>
      <c r="E233" s="5">
        <v>36</v>
      </c>
      <c r="F233" s="160">
        <v>28</v>
      </c>
      <c r="G233" s="162">
        <v>1</v>
      </c>
      <c r="H233" s="5" t="s">
        <v>140</v>
      </c>
      <c r="I233" s="5" t="e">
        <f t="shared" si="0"/>
        <v>#N/A</v>
      </c>
    </row>
    <row r="234" spans="2:9" ht="15.75" customHeight="1">
      <c r="B234" s="5" t="s">
        <v>585</v>
      </c>
      <c r="C234" s="5">
        <v>18</v>
      </c>
      <c r="D234" s="5" t="s">
        <v>586</v>
      </c>
      <c r="E234" s="5">
        <v>36</v>
      </c>
      <c r="F234" s="160">
        <v>44</v>
      </c>
      <c r="G234" s="162">
        <v>1</v>
      </c>
      <c r="H234" s="5" t="s">
        <v>146</v>
      </c>
      <c r="I234" s="5" t="e">
        <f t="shared" si="0"/>
        <v>#N/A</v>
      </c>
    </row>
    <row r="235" spans="2:9" ht="15.75" customHeight="1">
      <c r="B235" s="5" t="s">
        <v>587</v>
      </c>
      <c r="C235" s="5">
        <v>18</v>
      </c>
      <c r="D235" s="5" t="s">
        <v>588</v>
      </c>
      <c r="E235" s="5">
        <v>36</v>
      </c>
      <c r="F235" s="160">
        <v>54</v>
      </c>
      <c r="G235" s="162">
        <v>1</v>
      </c>
      <c r="H235" s="5" t="s">
        <v>152</v>
      </c>
      <c r="I235" s="5" t="e">
        <f t="shared" si="0"/>
        <v>#N/A</v>
      </c>
    </row>
    <row r="236" spans="2:9" ht="15.75" customHeight="1">
      <c r="B236" s="5" t="s">
        <v>589</v>
      </c>
      <c r="C236" s="5">
        <v>18</v>
      </c>
      <c r="D236" s="5" t="s">
        <v>590</v>
      </c>
      <c r="E236" s="5">
        <v>36</v>
      </c>
      <c r="F236" s="160">
        <v>65</v>
      </c>
      <c r="G236" s="162">
        <v>1</v>
      </c>
      <c r="H236" s="5" t="s">
        <v>155</v>
      </c>
      <c r="I236" s="5" t="e">
        <f t="shared" si="0"/>
        <v>#N/A</v>
      </c>
    </row>
    <row r="237" spans="2:9" ht="15.75" customHeight="1"/>
    <row r="238" spans="2:9" ht="15.75" customHeight="1"/>
    <row r="239" spans="2:9" ht="15.75" customHeight="1"/>
    <row r="240" spans="2: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ataValidations count="1">
    <dataValidation type="list" allowBlank="1" showErrorMessage="1" sqref="K7:K10" xr:uid="{00000000-0002-0000-0200-000000000000}">
      <formula1>$B:$B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2"/>
  <sheetViews>
    <sheetView workbookViewId="0"/>
  </sheetViews>
  <sheetFormatPr defaultColWidth="14.453125" defaultRowHeight="15" customHeight="1"/>
  <cols>
    <col min="2" max="2" width="18.7265625" customWidth="1"/>
    <col min="9" max="9" width="18.7265625" customWidth="1"/>
    <col min="10" max="10" width="20.453125" customWidth="1"/>
    <col min="11" max="11" width="28.08984375" customWidth="1"/>
  </cols>
  <sheetData>
    <row r="1" spans="1:11">
      <c r="A1" s="164" t="s">
        <v>591</v>
      </c>
      <c r="B1" s="165" t="s">
        <v>592</v>
      </c>
      <c r="C1" s="166" t="s">
        <v>593</v>
      </c>
      <c r="D1" s="165" t="s">
        <v>594</v>
      </c>
      <c r="E1" s="165" t="s">
        <v>595</v>
      </c>
      <c r="F1" s="167" t="s">
        <v>596</v>
      </c>
      <c r="G1" s="168" t="s">
        <v>597</v>
      </c>
      <c r="H1" s="169" t="s">
        <v>598</v>
      </c>
    </row>
    <row r="2" spans="1:11">
      <c r="A2" s="170" t="s">
        <v>599</v>
      </c>
      <c r="B2" s="171" t="s">
        <v>600</v>
      </c>
      <c r="C2" s="172">
        <f t="shared" ref="C2:C10" si="0">D2*16000</f>
        <v>128000</v>
      </c>
      <c r="D2" s="172">
        <v>8</v>
      </c>
      <c r="E2" s="172">
        <v>4</v>
      </c>
      <c r="F2" s="167">
        <f t="shared" ref="F2:F8" si="1">(E2*2.205*0.9)-0.2</f>
        <v>7.7380000000000004</v>
      </c>
      <c r="G2" s="168">
        <v>8</v>
      </c>
      <c r="H2" s="173">
        <f>75000</f>
        <v>75000</v>
      </c>
    </row>
    <row r="3" spans="1:11">
      <c r="A3" s="170" t="s">
        <v>599</v>
      </c>
      <c r="B3" s="172" t="s">
        <v>601</v>
      </c>
      <c r="C3" s="172">
        <f t="shared" si="0"/>
        <v>160000</v>
      </c>
      <c r="D3" s="172">
        <v>10</v>
      </c>
      <c r="E3" s="172">
        <v>3.6</v>
      </c>
      <c r="F3" s="167">
        <f t="shared" si="1"/>
        <v>6.9442000000000004</v>
      </c>
      <c r="G3" s="168">
        <f t="shared" ref="G3:G4" si="2">F3</f>
        <v>6.9442000000000004</v>
      </c>
      <c r="H3" s="173">
        <v>24000</v>
      </c>
    </row>
    <row r="4" spans="1:11">
      <c r="A4" s="170" t="s">
        <v>599</v>
      </c>
      <c r="B4" s="172" t="s">
        <v>602</v>
      </c>
      <c r="C4" s="172">
        <f t="shared" si="0"/>
        <v>160000</v>
      </c>
      <c r="D4" s="172">
        <v>10</v>
      </c>
      <c r="E4" s="172">
        <v>3.6</v>
      </c>
      <c r="F4" s="167">
        <f t="shared" si="1"/>
        <v>6.9442000000000004</v>
      </c>
      <c r="G4" s="168">
        <f t="shared" si="2"/>
        <v>6.9442000000000004</v>
      </c>
      <c r="H4" s="173">
        <v>16000</v>
      </c>
    </row>
    <row r="5" spans="1:11">
      <c r="A5" s="170" t="s">
        <v>599</v>
      </c>
      <c r="B5" s="174" t="s">
        <v>603</v>
      </c>
      <c r="C5" s="172">
        <f t="shared" si="0"/>
        <v>16000</v>
      </c>
      <c r="D5" s="174">
        <v>1</v>
      </c>
      <c r="E5" s="174">
        <v>3.1</v>
      </c>
      <c r="F5" s="175">
        <f t="shared" si="1"/>
        <v>5.9519500000000001</v>
      </c>
      <c r="G5" s="176">
        <v>5.4</v>
      </c>
      <c r="H5" s="177">
        <v>16000</v>
      </c>
    </row>
    <row r="6" spans="1:11">
      <c r="A6" s="170" t="s">
        <v>604</v>
      </c>
      <c r="B6" s="172" t="s">
        <v>603</v>
      </c>
      <c r="C6" s="172">
        <f t="shared" si="0"/>
        <v>48000</v>
      </c>
      <c r="D6" s="172">
        <v>3</v>
      </c>
      <c r="E6" s="172">
        <v>3.25</v>
      </c>
      <c r="F6" s="167">
        <f t="shared" si="1"/>
        <v>6.249625</v>
      </c>
      <c r="G6" s="168">
        <v>5.4</v>
      </c>
      <c r="H6" s="173">
        <v>16000</v>
      </c>
    </row>
    <row r="7" spans="1:11">
      <c r="A7" s="170" t="s">
        <v>605</v>
      </c>
      <c r="B7" s="172" t="s">
        <v>603</v>
      </c>
      <c r="C7" s="172">
        <f t="shared" si="0"/>
        <v>64000</v>
      </c>
      <c r="D7" s="172">
        <v>4</v>
      </c>
      <c r="E7" s="172">
        <v>3.2</v>
      </c>
      <c r="F7" s="167">
        <f t="shared" si="1"/>
        <v>6.1504000000000012</v>
      </c>
      <c r="G7" s="168">
        <v>5.4</v>
      </c>
      <c r="H7" s="173">
        <f>C7</f>
        <v>64000</v>
      </c>
    </row>
    <row r="8" spans="1:11">
      <c r="A8" s="170" t="s">
        <v>605</v>
      </c>
      <c r="B8" s="172" t="s">
        <v>606</v>
      </c>
      <c r="C8" s="172">
        <f t="shared" si="0"/>
        <v>48000</v>
      </c>
      <c r="D8" s="172">
        <v>3</v>
      </c>
      <c r="E8" s="172">
        <v>3.8</v>
      </c>
      <c r="F8" s="167">
        <f t="shared" si="1"/>
        <v>7.3411</v>
      </c>
      <c r="G8" s="168">
        <v>7.5</v>
      </c>
      <c r="H8" s="173">
        <v>50000</v>
      </c>
    </row>
    <row r="9" spans="1:11">
      <c r="A9" s="178" t="s">
        <v>607</v>
      </c>
      <c r="B9" s="179" t="s">
        <v>608</v>
      </c>
      <c r="C9" s="172">
        <f t="shared" si="0"/>
        <v>0</v>
      </c>
      <c r="D9" s="180"/>
      <c r="E9" s="180"/>
      <c r="F9" s="167">
        <v>6</v>
      </c>
      <c r="G9" s="168">
        <v>6</v>
      </c>
      <c r="H9" s="173">
        <v>140000</v>
      </c>
    </row>
    <row r="10" spans="1:11">
      <c r="A10" s="178" t="s">
        <v>607</v>
      </c>
      <c r="B10" s="179" t="s">
        <v>609</v>
      </c>
      <c r="C10" s="172">
        <f t="shared" si="0"/>
        <v>0</v>
      </c>
      <c r="D10" s="180"/>
      <c r="E10" s="180"/>
      <c r="F10" s="167">
        <v>6.3</v>
      </c>
      <c r="G10" s="168">
        <v>6.2</v>
      </c>
      <c r="H10" s="173">
        <v>120000</v>
      </c>
    </row>
    <row r="14" spans="1:11">
      <c r="I14" s="169" t="s">
        <v>610</v>
      </c>
    </row>
    <row r="15" spans="1:11">
      <c r="I15" s="169" t="s">
        <v>606</v>
      </c>
      <c r="J15" s="5" t="s">
        <v>36</v>
      </c>
      <c r="K15" s="5" t="str">
        <f>VLOOKUP(J15,master!B:D,3,0)</f>
        <v>VA PDTO IQF T NB 21/25 5X2LB</v>
      </c>
    </row>
    <row r="16" spans="1:11">
      <c r="C16" s="181" t="s">
        <v>611</v>
      </c>
      <c r="D16" s="182" t="s">
        <v>612</v>
      </c>
      <c r="E16" s="181">
        <v>75</v>
      </c>
      <c r="F16" s="181" t="s">
        <v>613</v>
      </c>
      <c r="I16" s="169" t="s">
        <v>600</v>
      </c>
      <c r="J16" s="5" t="s">
        <v>34</v>
      </c>
      <c r="K16" s="5" t="str">
        <f>VLOOKUP(J16,master!B:D,3,0)</f>
        <v>VA PDTO IQF T NB 16/20 5X2LB</v>
      </c>
    </row>
    <row r="17" spans="3:11">
      <c r="C17" s="181" t="s">
        <v>143</v>
      </c>
      <c r="D17" s="181" t="s">
        <v>612</v>
      </c>
      <c r="E17" s="181">
        <v>50</v>
      </c>
      <c r="F17" s="181" t="s">
        <v>613</v>
      </c>
      <c r="I17" s="169" t="s">
        <v>601</v>
      </c>
      <c r="J17" s="5" t="s">
        <v>38</v>
      </c>
      <c r="K17" s="5" t="str">
        <f>VLOOKUP(J17,master!B:D,3,0)</f>
        <v>VA PDTO IQF T NB 26/30 5X2LB</v>
      </c>
    </row>
    <row r="18" spans="3:11">
      <c r="C18" s="181" t="s">
        <v>403</v>
      </c>
      <c r="D18" s="181" t="s">
        <v>612</v>
      </c>
      <c r="E18" s="181">
        <v>24</v>
      </c>
      <c r="F18" s="181" t="s">
        <v>613</v>
      </c>
      <c r="I18" s="169" t="s">
        <v>603</v>
      </c>
      <c r="J18" s="5" t="s">
        <v>42</v>
      </c>
      <c r="K18" s="5" t="str">
        <f>VLOOKUP(J18,master!B:D,3,0)</f>
        <v>VA PDTL IQF T NB 51/60 5X2LB</v>
      </c>
    </row>
    <row r="19" spans="3:11">
      <c r="C19" s="181" t="s">
        <v>403</v>
      </c>
      <c r="D19" s="181" t="s">
        <v>614</v>
      </c>
      <c r="E19" s="181">
        <v>16</v>
      </c>
      <c r="F19" s="181" t="s">
        <v>613</v>
      </c>
      <c r="G19" s="5" t="s">
        <v>615</v>
      </c>
      <c r="I19" s="169" t="s">
        <v>602</v>
      </c>
      <c r="J19" s="5" t="s">
        <v>37</v>
      </c>
      <c r="K19" s="5" t="str">
        <f>VLOOKUP(J19,master!B:D,3,0)</f>
        <v>VA PDTL IQF T NB 26/30 5X2LB</v>
      </c>
    </row>
    <row r="20" spans="3:11">
      <c r="C20" s="181" t="s">
        <v>152</v>
      </c>
      <c r="D20" s="181" t="s">
        <v>614</v>
      </c>
      <c r="E20" s="181">
        <v>120</v>
      </c>
      <c r="F20" s="181" t="s">
        <v>613</v>
      </c>
      <c r="I20" s="169" t="s">
        <v>616</v>
      </c>
      <c r="J20" s="5" t="s">
        <v>41</v>
      </c>
      <c r="K20" s="5" t="str">
        <f>VLOOKUP(J20,master!B:D,3,0)</f>
        <v>VA PDTL IQF T NB 41/50 5X2LB</v>
      </c>
    </row>
    <row r="21" spans="3:11">
      <c r="C21" s="181" t="s">
        <v>155</v>
      </c>
      <c r="D21" s="181" t="s">
        <v>617</v>
      </c>
      <c r="E21" s="181">
        <v>140</v>
      </c>
      <c r="F21" s="181" t="s">
        <v>613</v>
      </c>
      <c r="I21" s="169" t="s">
        <v>609</v>
      </c>
      <c r="J21" s="5" t="s">
        <v>40</v>
      </c>
      <c r="K21" s="5" t="str">
        <f>VLOOKUP(J21,master!B:D,3,0)</f>
        <v>VA PDTL IQF T NB 31/40 5X2LB</v>
      </c>
    </row>
    <row r="22" spans="3:11">
      <c r="C22" s="181" t="s">
        <v>158</v>
      </c>
      <c r="D22" s="181" t="s">
        <v>617</v>
      </c>
      <c r="E22" s="181">
        <v>100</v>
      </c>
      <c r="F22" s="181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Maintain</vt:lpstr>
      <vt:lpstr>Processing charge</vt:lpstr>
      <vt:lpstr>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Sompong Chamjirachikul</dc:creator>
  <cp:lastModifiedBy>Yashas K</cp:lastModifiedBy>
  <dcterms:created xsi:type="dcterms:W3CDTF">2015-06-05T18:17:00Z</dcterms:created>
  <dcterms:modified xsi:type="dcterms:W3CDTF">2026-05-26T11:34:09Z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